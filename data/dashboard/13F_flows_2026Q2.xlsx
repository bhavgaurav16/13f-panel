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10" sheetId="2" state="visible" r:id="rId2"/>
    <sheet name="$10B+" sheetId="3" state="visible" r:id="rId3"/>
    <sheet name="$1-10B" sheetId="4" state="visible" r:id="rId4"/>
    <sheet name="$100M-1B" sheetId="5" state="visible" r:id="rId5"/>
    <sheet name="All" sheetId="6" state="visible" r:id="rId6"/>
    <sheet name="Top 10 managers" sheetId="7" state="visible" r:id="rId7"/>
    <sheet name="Trends" sheetId="8" state="visible" r:id="rId8"/>
    <sheet name="Metho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,,,&quot;bn&quot;;[Red]-#,##0.0,,,&quot;bn&quot;"/>
    <numFmt numFmtId="165" formatCode="0.0%;[Red]-0.0%"/>
    <numFmt numFmtId="166" formatCode="#,##0,,&quot;m&quot;;[Red]-#,##0,,&quot;m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>
      <c r="A1" s="1" t="inlineStr">
        <is>
          <t>13F capital flows - 2026Q2 vs 2026Q1</t>
        </is>
      </c>
    </row>
    <row r="2">
      <c r="A2" t="inlineStr">
        <is>
          <t>8,847 filers; 8,718 filed both quarters (flows use these only). Flows = change in share count x current price, so price moves are stripped out. Long equity only, so puts and calls are excluded from flows. Stock rankings exclude ETFs.</t>
        </is>
      </c>
    </row>
    <row r="4">
      <c r="A4" s="2" t="inlineStr">
        <is>
          <t>Tier</t>
        </is>
      </c>
      <c r="B4" s="2" t="inlineStr">
        <is>
          <t>Managers</t>
        </is>
      </c>
      <c r="C4" s="2" t="inlineStr">
        <is>
          <t>AUM</t>
        </is>
      </c>
      <c r="D4" s="2" t="inlineStr">
        <is>
          <t>Net flow</t>
        </is>
      </c>
      <c r="E4" s="2" t="inlineStr">
        <is>
          <t>Net flow % AUM</t>
        </is>
      </c>
      <c r="F4" s="2" t="inlineStr">
        <is>
          <t>Gross buys</t>
        </is>
      </c>
      <c r="G4" s="2" t="inlineStr">
        <is>
          <t>Gross sells</t>
        </is>
      </c>
      <c r="H4" s="2" t="inlineStr">
        <is>
          <t>Turnover</t>
        </is>
      </c>
      <c r="I4" s="2" t="inlineStr">
        <is>
          <t>Stock net</t>
        </is>
      </c>
      <c r="J4" s="2" t="inlineStr">
        <is>
          <t>ETF net</t>
        </is>
      </c>
      <c r="K4" s="2" t="inlineStr">
        <is>
          <t>New positions</t>
        </is>
      </c>
      <c r="L4" s="2" t="inlineStr">
        <is>
          <t>Full exits</t>
        </is>
      </c>
      <c r="M4" s="2" t="inlineStr">
        <is>
          <t>Put/Call notional</t>
        </is>
      </c>
      <c r="N4" s="2" t="inlineStr">
        <is>
          <t>Median top-10 conc.</t>
        </is>
      </c>
      <c r="O4" s="2" t="inlineStr">
        <is>
          <t>Median # positions</t>
        </is>
      </c>
    </row>
    <row r="5">
      <c r="A5" t="inlineStr">
        <is>
          <t>Top 10 managers</t>
        </is>
      </c>
      <c r="B5" t="n">
        <v>10</v>
      </c>
      <c r="C5" s="3" t="n">
        <v>27563957971873</v>
      </c>
      <c r="D5" s="3" t="n">
        <v>2155195004906.441</v>
      </c>
      <c r="E5" s="4" t="n">
        <v>0.09753134157516317</v>
      </c>
      <c r="F5" s="3" t="n">
        <v>2740963643207.222</v>
      </c>
      <c r="G5" s="3" t="n">
        <v>585768638300.7815</v>
      </c>
      <c r="H5" s="4" t="n">
        <v>0.02359049144620898</v>
      </c>
      <c r="I5" s="3" t="n">
        <v>1775781343460.194</v>
      </c>
      <c r="J5" s="3" t="n">
        <v>379413661446.2464</v>
      </c>
      <c r="K5" t="n">
        <v>8613</v>
      </c>
      <c r="L5" t="n">
        <v>2050</v>
      </c>
      <c r="M5" s="5" t="n">
        <v>1.19869760374035</v>
      </c>
      <c r="N5" s="4" t="n">
        <v>0.2858306789267049</v>
      </c>
      <c r="O5" t="n">
        <v>4909</v>
      </c>
    </row>
    <row r="6">
      <c r="A6" t="inlineStr">
        <is>
          <t>$10B+ (ex top 10)</t>
        </is>
      </c>
      <c r="B6" t="n">
        <v>521</v>
      </c>
      <c r="C6" s="3" t="n">
        <v>40727152150527</v>
      </c>
      <c r="D6" s="3" t="n">
        <v>2858141018206.301</v>
      </c>
      <c r="E6" s="4" t="n">
        <v>0.08788652759020106</v>
      </c>
      <c r="F6" s="3" t="n">
        <v>6577265782933.838</v>
      </c>
      <c r="G6" s="3" t="n">
        <v>3719124764727.537</v>
      </c>
      <c r="H6" s="4" t="n">
        <v>0.1015488945427281</v>
      </c>
      <c r="I6" s="3" t="n">
        <v>2450657146416.766</v>
      </c>
      <c r="J6" s="3" t="n">
        <v>407483871789.5362</v>
      </c>
      <c r="K6" t="n">
        <v>95417</v>
      </c>
      <c r="L6" t="n">
        <v>66145</v>
      </c>
      <c r="M6" s="5" t="n">
        <v>1.235397454528978</v>
      </c>
      <c r="N6" s="4" t="n">
        <v>0.327690964713361</v>
      </c>
      <c r="O6" t="n">
        <v>957</v>
      </c>
    </row>
    <row r="7">
      <c r="A7" t="inlineStr">
        <is>
          <t>$1B-10B</t>
        </is>
      </c>
      <c r="B7" t="n">
        <v>1941</v>
      </c>
      <c r="C7" s="3" t="n">
        <v>5804349775353</v>
      </c>
      <c r="D7" s="3" t="n">
        <v>26759568607.65637</v>
      </c>
      <c r="E7" s="4" t="n">
        <v>0.005267730743676795</v>
      </c>
      <c r="F7" s="3" t="n">
        <v>931173805786.3163</v>
      </c>
      <c r="G7" s="3" t="n">
        <v>904414237178.6599</v>
      </c>
      <c r="H7" s="4" t="n">
        <v>0.166187636234164</v>
      </c>
      <c r="I7" s="3" t="n">
        <v>35059637955.75331</v>
      </c>
      <c r="J7" s="3" t="n">
        <v>-8300069348.096985</v>
      </c>
      <c r="K7" t="n">
        <v>119576</v>
      </c>
      <c r="L7" t="n">
        <v>83636</v>
      </c>
      <c r="M7" s="5" t="n">
        <v>1.066294100960671</v>
      </c>
      <c r="N7" s="4" t="n">
        <v>0.4518370184152952</v>
      </c>
      <c r="O7" t="n">
        <v>207</v>
      </c>
    </row>
    <row r="8">
      <c r="A8" t="inlineStr">
        <is>
          <t>$100M-1B</t>
        </is>
      </c>
      <c r="B8" t="n">
        <v>5659</v>
      </c>
      <c r="C8" s="3" t="n">
        <v>2013617811296</v>
      </c>
      <c r="D8" s="3" t="n">
        <v>-47458902662.29987</v>
      </c>
      <c r="E8" s="4" t="n">
        <v>-0.02434816217376231</v>
      </c>
      <c r="F8" s="3" t="n">
        <v>298846808536.1709</v>
      </c>
      <c r="G8" s="3" t="n">
        <v>346305711198.4708</v>
      </c>
      <c r="H8" s="4" t="n">
        <v>0.1508262453424333</v>
      </c>
      <c r="I8" s="3" t="n">
        <v>-73621643032.94925</v>
      </c>
      <c r="J8" s="3" t="n">
        <v>26162740370.64936</v>
      </c>
      <c r="K8" t="n">
        <v>135759</v>
      </c>
      <c r="L8" t="n">
        <v>97024</v>
      </c>
      <c r="M8" s="5" t="n">
        <v>1.51994140352426</v>
      </c>
      <c r="N8" s="4" t="n">
        <v>0.5735380519314208</v>
      </c>
      <c r="O8" t="n">
        <v>86</v>
      </c>
    </row>
    <row r="9">
      <c r="A9" s="6" t="inlineStr">
        <is>
          <t>All 13F filers ($100M+)</t>
        </is>
      </c>
      <c r="B9" s="6" t="n">
        <v>8131</v>
      </c>
      <c r="C9" s="7" t="n">
        <v>76109077709049</v>
      </c>
      <c r="D9" s="7" t="n">
        <v>4992636689058.099</v>
      </c>
      <c r="E9" s="8" t="n">
        <v>0.08098704104101385</v>
      </c>
      <c r="F9" s="7" t="n">
        <v>10548250040463.55</v>
      </c>
      <c r="G9" s="7" t="n">
        <v>5555613351405.448</v>
      </c>
      <c r="H9" s="8" t="n">
        <v>0.08065849749422298</v>
      </c>
      <c r="I9" s="7" t="n">
        <v>4187876484799.764</v>
      </c>
      <c r="J9" s="7" t="n">
        <v>804760204258.335</v>
      </c>
      <c r="K9" s="6" t="n">
        <v>359365</v>
      </c>
      <c r="L9" s="6" t="n">
        <v>248855</v>
      </c>
      <c r="M9" s="9" t="n">
        <v>1.202258577107368</v>
      </c>
      <c r="N9" s="8" t="n">
        <v>0.5307048964541087</v>
      </c>
      <c r="O9" s="6" t="n">
        <v>107</v>
      </c>
    </row>
    <row r="11">
      <c r="A11" s="1" t="inlineStr">
        <is>
          <t>Cross-tier consensus (stock in top 20 of 3+ tiers)</t>
        </is>
      </c>
    </row>
    <row r="12">
      <c r="A12" s="2" t="inlineStr">
        <is>
          <t>Issuer</t>
        </is>
      </c>
      <c r="B12" s="2" t="inlineStr">
        <is>
          <t>Direction</t>
        </is>
      </c>
      <c r="C12" s="2" t="inlineStr">
        <is>
          <t>Tiers</t>
        </is>
      </c>
      <c r="D12" s="2" t="inlineStr">
        <is>
          <t>Total flow</t>
        </is>
      </c>
    </row>
    <row r="13">
      <c r="A13" t="inlineStr">
        <is>
          <t>Space Exploration Techn Corp</t>
        </is>
      </c>
      <c r="B13" t="inlineStr">
        <is>
          <t>BUY</t>
        </is>
      </c>
      <c r="C13" t="inlineStr">
        <is>
          <t>top10, t10b, t1b, t100m</t>
        </is>
      </c>
      <c r="D13" s="3" t="n">
        <v>570962775886.5601</v>
      </c>
    </row>
    <row r="14">
      <c r="A14" t="inlineStr">
        <is>
          <t>Alphabet Inc</t>
        </is>
      </c>
      <c r="B14" t="inlineStr">
        <is>
          <t>BUY</t>
        </is>
      </c>
      <c r="C14" t="inlineStr">
        <is>
          <t>top10, top10, t10b, t10b, t100m, t100m</t>
        </is>
      </c>
      <c r="D14" s="3" t="n">
        <v>220541971553.3249</v>
      </c>
    </row>
    <row r="15">
      <c r="A15" t="inlineStr">
        <is>
          <t>Amazon Com Inc</t>
        </is>
      </c>
      <c r="B15" t="inlineStr">
        <is>
          <t>BUY</t>
        </is>
      </c>
      <c r="C15" t="inlineStr">
        <is>
          <t>top10, t10b, t1b</t>
        </is>
      </c>
      <c r="D15" s="3" t="n">
        <v>121710526944.3496</v>
      </c>
    </row>
    <row r="16">
      <c r="A16" t="inlineStr">
        <is>
          <t>Berkshire Hathaway Inc Del</t>
        </is>
      </c>
      <c r="B16" t="inlineStr">
        <is>
          <t>BUY</t>
        </is>
      </c>
      <c r="C16" t="inlineStr">
        <is>
          <t>t10b, t1b, t1b, t100m</t>
        </is>
      </c>
      <c r="D16" s="3" t="n">
        <v>104919899157.8337</v>
      </c>
    </row>
    <row r="17">
      <c r="A17" t="inlineStr">
        <is>
          <t>Tesla Inc</t>
        </is>
      </c>
      <c r="B17" t="inlineStr">
        <is>
          <t>BUY</t>
        </is>
      </c>
      <c r="C17" t="inlineStr">
        <is>
          <t>top10, t10b, t1b</t>
        </is>
      </c>
      <c r="D17" s="3" t="n">
        <v>62173971742.83334</v>
      </c>
    </row>
    <row r="18">
      <c r="A18" t="inlineStr">
        <is>
          <t>Honeywell Intl Inc</t>
        </is>
      </c>
      <c r="B18" t="inlineStr">
        <is>
          <t>BUY</t>
        </is>
      </c>
      <c r="C18" t="inlineStr">
        <is>
          <t>top10, t10b, t1b, t100m</t>
        </is>
      </c>
      <c r="D18" s="3" t="n">
        <v>54393703003.45</v>
      </c>
    </row>
    <row r="19">
      <c r="A19" t="inlineStr">
        <is>
          <t>Honeywell Aerospace Inc</t>
        </is>
      </c>
      <c r="B19" t="inlineStr">
        <is>
          <t>BUY</t>
        </is>
      </c>
      <c r="C19" t="inlineStr">
        <is>
          <t>top10, t10b, t1b, t100m</t>
        </is>
      </c>
      <c r="D19" s="3" t="n">
        <v>51936318066.03712</v>
      </c>
    </row>
    <row r="20">
      <c r="A20" t="inlineStr">
        <is>
          <t>Honeywell Intl Inc</t>
        </is>
      </c>
      <c r="B20" t="inlineStr">
        <is>
          <t>SELL</t>
        </is>
      </c>
      <c r="C20" t="inlineStr">
        <is>
          <t>top10, t10b, t1b, t100m</t>
        </is>
      </c>
      <c r="D20" s="3" t="n">
        <v>-55448293588.08466</v>
      </c>
    </row>
    <row r="21">
      <c r="A21" t="inlineStr">
        <is>
          <t>Thomson Reuters Corp</t>
        </is>
      </c>
      <c r="B21" t="inlineStr">
        <is>
          <t>SELL</t>
        </is>
      </c>
      <c r="C21" t="inlineStr">
        <is>
          <t>top10, t10b, t100m</t>
        </is>
      </c>
      <c r="D21" s="3" t="n">
        <v>-33168582784.55697</v>
      </c>
    </row>
    <row r="22">
      <c r="A22" t="inlineStr">
        <is>
          <t>Coterra Energy Inc</t>
        </is>
      </c>
      <c r="B22" t="inlineStr">
        <is>
          <t>SELL</t>
        </is>
      </c>
      <c r="C22" t="inlineStr">
        <is>
          <t>top10, t10b, t1b</t>
        </is>
      </c>
      <c r="D22" s="3" t="n">
        <v>-22524380043</v>
      </c>
    </row>
    <row r="23">
      <c r="A23" t="inlineStr">
        <is>
          <t>Carnival Corp</t>
        </is>
      </c>
      <c r="B23" t="inlineStr">
        <is>
          <t>SELL</t>
        </is>
      </c>
      <c r="C23" t="inlineStr">
        <is>
          <t>top10, t10b, t1b</t>
        </is>
      </c>
      <c r="D23" s="3" t="n">
        <v>-22000756675.94452</v>
      </c>
    </row>
    <row r="24">
      <c r="A24" t="inlineStr">
        <is>
          <t>Hologic Inc</t>
        </is>
      </c>
      <c r="B24" t="inlineStr">
        <is>
          <t>SELL</t>
        </is>
      </c>
      <c r="C24" t="inlineStr">
        <is>
          <t>top10, t10b, t1b</t>
        </is>
      </c>
      <c r="D24" s="3" t="n">
        <v>-15349464453.08228</v>
      </c>
    </row>
    <row r="25">
      <c r="A25" t="inlineStr">
        <is>
          <t>Masimo Corp</t>
        </is>
      </c>
      <c r="B25" t="inlineStr">
        <is>
          <t>SELL</t>
        </is>
      </c>
      <c r="C25" t="inlineStr">
        <is>
          <t>top10, t10b, t100m</t>
        </is>
      </c>
      <c r="D25" s="3" t="n">
        <v>-8235360450.454546</v>
      </c>
    </row>
    <row r="26">
      <c r="A26" t="inlineStr">
        <is>
          <t>Clearwater Analytics Hldgs I</t>
        </is>
      </c>
      <c r="B26" t="inlineStr">
        <is>
          <t>SELL</t>
        </is>
      </c>
      <c r="C26" t="inlineStr">
        <is>
          <t>top10, t10b, t1b</t>
        </is>
      </c>
      <c r="D26" s="3" t="n">
        <v>-7005271249.571428</v>
      </c>
    </row>
  </sheetData>
  <conditionalFormatting sqref="E5:E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8" customWidth="1" min="4" max="4"/>
    <col width="8" customWidth="1" min="5" max="5"/>
    <col width="7" customWidth="1" min="6" max="6"/>
    <col width="10" customWidth="1" min="7" max="7"/>
    <col width="3" customWidth="1" min="8" max="8"/>
    <col width="4" customWidth="1" min="9" max="9"/>
    <col width="34" customWidth="1" min="10" max="10"/>
    <col width="11" customWidth="1" min="11" max="11"/>
    <col width="8" customWidth="1" min="12" max="12"/>
    <col width="8" customWidth="1" min="13" max="13"/>
    <col width="7" customWidth="1" min="14" max="14"/>
    <col width="10" customWidth="1" min="15" max="15"/>
  </cols>
  <sheetData>
    <row r="1">
      <c r="A1" s="1" t="inlineStr">
        <is>
          <t>Top 10 managers - 2026Q2</t>
        </is>
      </c>
    </row>
    <row r="2">
      <c r="A2" t="inlineStr">
        <is>
          <t>10 managers | net 2,155.2bn | turnover 2.4% | P/C 1.20</t>
        </is>
      </c>
    </row>
    <row r="4">
      <c r="A4" s="2" t="inlineStr">
        <is>
          <t>#</t>
        </is>
      </c>
      <c r="B4" s="2" t="inlineStr">
        <is>
          <t>Top buys</t>
        </is>
      </c>
      <c r="C4" s="2" t="inlineStr">
        <is>
          <t>Net $</t>
        </is>
      </c>
      <c r="D4" s="2" t="inlineStr">
        <is>
          <t>Buyers</t>
        </is>
      </c>
      <c r="E4" s="2" t="inlineStr">
        <is>
          <t>Sellers</t>
        </is>
      </c>
      <c r="F4" s="2" t="inlineStr">
        <is>
          <t>New</t>
        </is>
      </c>
      <c r="G4" s="2" t="inlineStr">
        <is>
          <t>Flow % of held</t>
        </is>
      </c>
      <c r="H4" s="2" t="inlineStr"/>
      <c r="I4" s="2" t="inlineStr">
        <is>
          <t>#</t>
        </is>
      </c>
      <c r="J4" s="2" t="inlineStr">
        <is>
          <t>Top sells</t>
        </is>
      </c>
      <c r="K4" s="2" t="inlineStr">
        <is>
          <t>Net $</t>
        </is>
      </c>
      <c r="L4" s="2" t="inlineStr">
        <is>
          <t>Buyers</t>
        </is>
      </c>
      <c r="M4" s="2" t="inlineStr">
        <is>
          <t>Sellers</t>
        </is>
      </c>
      <c r="N4" s="2" t="inlineStr">
        <is>
          <t>Exits</t>
        </is>
      </c>
      <c r="O4" s="2" t="inlineStr">
        <is>
          <t>Flow % of held</t>
        </is>
      </c>
    </row>
    <row r="5">
      <c r="A5" t="n">
        <v>1</v>
      </c>
      <c r="B5" t="inlineStr">
        <is>
          <t>Nvidia Corporation</t>
        </is>
      </c>
      <c r="C5" s="10" t="n">
        <v>109741310494.3261</v>
      </c>
      <c r="D5" t="n">
        <v>10</v>
      </c>
      <c r="E5" t="n">
        <v>0</v>
      </c>
      <c r="F5" t="n">
        <v>1</v>
      </c>
      <c r="G5" s="4" t="n">
        <v>0.06890035412174737</v>
      </c>
      <c r="I5" t="n">
        <v>1</v>
      </c>
      <c r="J5" t="inlineStr">
        <is>
          <t>Honeywell Intl Inc</t>
        </is>
      </c>
      <c r="K5" s="10" t="n">
        <v>-22941767592.60582</v>
      </c>
      <c r="L5" t="n">
        <v>0</v>
      </c>
      <c r="M5" t="n">
        <v>9</v>
      </c>
      <c r="N5" t="n">
        <v>9</v>
      </c>
      <c r="O5" s="4" t="n"/>
    </row>
    <row r="6">
      <c r="A6" t="n">
        <v>2</v>
      </c>
      <c r="B6" t="inlineStr">
        <is>
          <t>Apple Inc</t>
        </is>
      </c>
      <c r="C6" s="10" t="n">
        <v>85973626741.9727</v>
      </c>
      <c r="D6" t="n">
        <v>9</v>
      </c>
      <c r="E6" t="n">
        <v>1</v>
      </c>
      <c r="F6" t="n">
        <v>1</v>
      </c>
      <c r="G6" s="4" t="n">
        <v>0.06532580084549454</v>
      </c>
      <c r="I6" t="n">
        <v>2</v>
      </c>
      <c r="J6" t="inlineStr">
        <is>
          <t>Carnival Corp</t>
        </is>
      </c>
      <c r="K6" s="10" t="n">
        <v>-8590048017.947088</v>
      </c>
      <c r="L6" t="n">
        <v>1</v>
      </c>
      <c r="M6" t="n">
        <v>8</v>
      </c>
      <c r="N6" t="n">
        <v>8</v>
      </c>
      <c r="O6" s="4" t="n">
        <v>-5.164563120971342</v>
      </c>
    </row>
    <row r="7">
      <c r="A7" t="n">
        <v>3</v>
      </c>
      <c r="B7" t="inlineStr">
        <is>
          <t>Space Exploration Techn Corp</t>
        </is>
      </c>
      <c r="C7" s="10" t="n">
        <v>75264372993.08</v>
      </c>
      <c r="D7" t="n">
        <v>9</v>
      </c>
      <c r="E7" t="n">
        <v>0</v>
      </c>
      <c r="F7" t="n">
        <v>9</v>
      </c>
      <c r="G7" s="4" t="n">
        <v>1.001965074495589</v>
      </c>
      <c r="I7" t="n">
        <v>3</v>
      </c>
      <c r="J7" t="inlineStr">
        <is>
          <t>Coterra Energy Inc</t>
        </is>
      </c>
      <c r="K7" s="10" t="n">
        <v>-8122419921</v>
      </c>
      <c r="L7" t="n">
        <v>0</v>
      </c>
      <c r="M7" t="n">
        <v>9</v>
      </c>
      <c r="N7" t="n">
        <v>9</v>
      </c>
      <c r="O7" s="4" t="n"/>
    </row>
    <row r="8">
      <c r="A8" t="n">
        <v>4</v>
      </c>
      <c r="B8" t="inlineStr">
        <is>
          <t>Microsoft Corp</t>
        </is>
      </c>
      <c r="C8" s="10" t="n">
        <v>61699136689.46171</v>
      </c>
      <c r="D8" t="n">
        <v>9</v>
      </c>
      <c r="E8" t="n">
        <v>1</v>
      </c>
      <c r="F8" t="n">
        <v>1</v>
      </c>
      <c r="G8" s="4" t="n">
        <v>0.06930749551952084</v>
      </c>
      <c r="I8" t="n">
        <v>4</v>
      </c>
      <c r="J8" t="inlineStr">
        <is>
          <t>Dupont De Nemours Inc</t>
        </is>
      </c>
      <c r="K8" s="10" t="n">
        <v>-6073251946.082927</v>
      </c>
      <c r="L8" t="n">
        <v>0</v>
      </c>
      <c r="M8" t="n">
        <v>9</v>
      </c>
      <c r="N8" t="n">
        <v>9</v>
      </c>
      <c r="O8" s="4" t="n"/>
    </row>
    <row r="9">
      <c r="A9" t="n">
        <v>5</v>
      </c>
      <c r="B9" t="inlineStr">
        <is>
          <t>Alphabet Inc</t>
        </is>
      </c>
      <c r="C9" s="10" t="n">
        <v>61466206602.49194</v>
      </c>
      <c r="D9" t="n">
        <v>10</v>
      </c>
      <c r="E9" t="n">
        <v>0</v>
      </c>
      <c r="F9" t="n">
        <v>1</v>
      </c>
      <c r="G9" s="4" t="n">
        <v>0.1166891292511877</v>
      </c>
      <c r="I9" t="n">
        <v>5</v>
      </c>
      <c r="J9" t="inlineStr">
        <is>
          <t>Hologic Inc</t>
        </is>
      </c>
      <c r="K9" s="10" t="n">
        <v>-5526540664.649499</v>
      </c>
      <c r="L9" t="n">
        <v>0</v>
      </c>
      <c r="M9" t="n">
        <v>10</v>
      </c>
      <c r="N9" t="n">
        <v>10</v>
      </c>
      <c r="O9" s="4" t="n"/>
    </row>
    <row r="10">
      <c r="A10" t="n">
        <v>6</v>
      </c>
      <c r="B10" t="inlineStr">
        <is>
          <t>Broadcom Inc</t>
        </is>
      </c>
      <c r="C10" s="10" t="n">
        <v>53080178064.16528</v>
      </c>
      <c r="D10" t="n">
        <v>8</v>
      </c>
      <c r="E10" t="n">
        <v>2</v>
      </c>
      <c r="F10" t="n">
        <v>1</v>
      </c>
      <c r="G10" s="4" t="n">
        <v>0.08809347750902936</v>
      </c>
      <c r="I10" t="n">
        <v>6</v>
      </c>
      <c r="J10" t="inlineStr">
        <is>
          <t>Salesforce Inc</t>
        </is>
      </c>
      <c r="K10" s="10" t="n">
        <v>-3430269683.569374</v>
      </c>
      <c r="L10" t="n">
        <v>3</v>
      </c>
      <c r="M10" t="n">
        <v>7</v>
      </c>
      <c r="N10" t="n">
        <v>0</v>
      </c>
      <c r="O10" s="4" t="n">
        <v>-0.08267272262465447</v>
      </c>
    </row>
    <row r="11">
      <c r="A11" t="n">
        <v>7</v>
      </c>
      <c r="B11" t="inlineStr">
        <is>
          <t>Alphabet Inc</t>
        </is>
      </c>
      <c r="C11" s="10" t="n">
        <v>50896958123.95199</v>
      </c>
      <c r="D11" t="n">
        <v>8</v>
      </c>
      <c r="E11" t="n">
        <v>2</v>
      </c>
      <c r="F11" t="n">
        <v>1</v>
      </c>
      <c r="G11" s="4" t="n">
        <v>0.07276322898955437</v>
      </c>
      <c r="I11" t="n">
        <v>7</v>
      </c>
      <c r="J11" t="inlineStr">
        <is>
          <t>Masimo Corp</t>
        </is>
      </c>
      <c r="K11" s="10" t="n">
        <v>-2447750481.568182</v>
      </c>
      <c r="L11" t="n">
        <v>0</v>
      </c>
      <c r="M11" t="n">
        <v>9</v>
      </c>
      <c r="N11" t="n">
        <v>9</v>
      </c>
      <c r="O11" s="4" t="n"/>
    </row>
    <row r="12">
      <c r="A12" t="n">
        <v>8</v>
      </c>
      <c r="B12" t="inlineStr">
        <is>
          <t>Amazon Com Inc</t>
        </is>
      </c>
      <c r="C12" s="10" t="n">
        <v>50828097670.15606</v>
      </c>
      <c r="D12" t="n">
        <v>8</v>
      </c>
      <c r="E12" t="n">
        <v>2</v>
      </c>
      <c r="F12" t="n">
        <v>1</v>
      </c>
      <c r="G12" s="4" t="n">
        <v>0.06908820351255984</v>
      </c>
      <c r="I12" t="n">
        <v>8</v>
      </c>
      <c r="J12" t="inlineStr">
        <is>
          <t>Thomson Reuters Corp</t>
        </is>
      </c>
      <c r="K12" s="10" t="n">
        <v>-2203254905.555747</v>
      </c>
      <c r="L12" t="n">
        <v>0</v>
      </c>
      <c r="M12" t="n">
        <v>8</v>
      </c>
      <c r="N12" t="n">
        <v>8</v>
      </c>
      <c r="O12" s="4" t="n"/>
    </row>
    <row r="13">
      <c r="A13" t="n">
        <v>9</v>
      </c>
      <c r="B13" t="inlineStr">
        <is>
          <t>Advanced Micro Devices Inc</t>
        </is>
      </c>
      <c r="C13" s="10" t="n">
        <v>35272846486.35</v>
      </c>
      <c r="D13" t="n">
        <v>8</v>
      </c>
      <c r="E13" t="n">
        <v>2</v>
      </c>
      <c r="F13" t="n">
        <v>1</v>
      </c>
      <c r="G13" s="4" t="n">
        <v>0.1082156183337793</v>
      </c>
      <c r="I13" t="n">
        <v>9</v>
      </c>
      <c r="J13" t="inlineStr">
        <is>
          <t>Air Lease Corp</t>
        </is>
      </c>
      <c r="K13" s="10" t="n">
        <v>-2109087473.936747</v>
      </c>
      <c r="L13" t="n">
        <v>0</v>
      </c>
      <c r="M13" t="n">
        <v>9</v>
      </c>
      <c r="N13" t="n">
        <v>9</v>
      </c>
      <c r="O13" s="4" t="n"/>
    </row>
    <row r="14">
      <c r="A14" t="n">
        <v>10</v>
      </c>
      <c r="B14" t="inlineStr">
        <is>
          <t>Micron Technology Inc</t>
        </is>
      </c>
      <c r="C14" s="10" t="n">
        <v>30989011251.68571</v>
      </c>
      <c r="D14" t="n">
        <v>8</v>
      </c>
      <c r="E14" t="n">
        <v>2</v>
      </c>
      <c r="F14" t="n">
        <v>1</v>
      </c>
      <c r="G14" s="4" t="n">
        <v>0.06742819482519706</v>
      </c>
      <c r="I14" t="n">
        <v>10</v>
      </c>
      <c r="J14" t="inlineStr">
        <is>
          <t>Sealed Air Corp New</t>
        </is>
      </c>
      <c r="K14" s="10" t="n">
        <v>-2089946874.792453</v>
      </c>
      <c r="L14" t="n">
        <v>0</v>
      </c>
      <c r="M14" t="n">
        <v>9</v>
      </c>
      <c r="N14" t="n">
        <v>9</v>
      </c>
      <c r="O14" s="4" t="n"/>
    </row>
    <row r="15">
      <c r="A15" t="n">
        <v>11</v>
      </c>
      <c r="B15" t="inlineStr">
        <is>
          <t>Tesla Inc</t>
        </is>
      </c>
      <c r="C15" s="10" t="n">
        <v>23685883326.6</v>
      </c>
      <c r="D15" t="n">
        <v>8</v>
      </c>
      <c r="E15" t="n">
        <v>2</v>
      </c>
      <c r="F15" t="n">
        <v>1</v>
      </c>
      <c r="G15" s="4" t="n">
        <v>0.06808684919441797</v>
      </c>
      <c r="I15" t="n">
        <v>11</v>
      </c>
      <c r="J15" t="inlineStr">
        <is>
          <t>Clearwater Analytics Hldgs I</t>
        </is>
      </c>
      <c r="K15" s="10" t="n">
        <v>-1963698831.081633</v>
      </c>
      <c r="L15" t="n">
        <v>0</v>
      </c>
      <c r="M15" t="n">
        <v>10</v>
      </c>
      <c r="N15" t="n">
        <v>10</v>
      </c>
      <c r="O15" s="4" t="n"/>
    </row>
    <row r="16">
      <c r="A16" t="n">
        <v>12</v>
      </c>
      <c r="B16" t="inlineStr">
        <is>
          <t>Meta Platforms Inc</t>
        </is>
      </c>
      <c r="C16" s="10" t="n">
        <v>21777380282.78924</v>
      </c>
      <c r="D16" t="n">
        <v>9</v>
      </c>
      <c r="E16" t="n">
        <v>1</v>
      </c>
      <c r="F16" t="n">
        <v>1</v>
      </c>
      <c r="G16" s="4" t="n">
        <v>0.0519852037434584</v>
      </c>
      <c r="I16" t="n">
        <v>12</v>
      </c>
      <c r="J16" t="inlineStr">
        <is>
          <t>Invesco Exch Traded Fd Tr Ii</t>
        </is>
      </c>
      <c r="K16" s="10" t="n">
        <v>-1959331338.439139</v>
      </c>
      <c r="L16" t="n">
        <v>4</v>
      </c>
      <c r="M16" t="n">
        <v>2</v>
      </c>
      <c r="N16" t="n">
        <v>0</v>
      </c>
      <c r="O16" s="4" t="n">
        <v>-0.5335309110606854</v>
      </c>
    </row>
    <row r="17">
      <c r="A17" t="n">
        <v>13</v>
      </c>
      <c r="B17" t="inlineStr">
        <is>
          <t>Eli Lilly &amp; Co</t>
        </is>
      </c>
      <c r="C17" s="10" t="n">
        <v>21386405610.90132</v>
      </c>
      <c r="D17" t="n">
        <v>9</v>
      </c>
      <c r="E17" t="n">
        <v>1</v>
      </c>
      <c r="F17" t="n">
        <v>1</v>
      </c>
      <c r="G17" s="4" t="n">
        <v>0.06580489378384019</v>
      </c>
      <c r="I17" t="n">
        <v>13</v>
      </c>
      <c r="J17" t="inlineStr">
        <is>
          <t>Coherent Corp</t>
        </is>
      </c>
      <c r="K17" s="10" t="n">
        <v>-1917847657.98</v>
      </c>
      <c r="L17" t="n">
        <v>9</v>
      </c>
      <c r="M17" t="n">
        <v>1</v>
      </c>
      <c r="N17" t="n">
        <v>0</v>
      </c>
      <c r="O17" s="4" t="n">
        <v>-0.06193459353902016</v>
      </c>
    </row>
    <row r="18">
      <c r="A18" t="n">
        <v>14</v>
      </c>
      <c r="B18" t="inlineStr">
        <is>
          <t>Lam Research Corp</t>
        </is>
      </c>
      <c r="C18" s="10" t="n">
        <v>21216430056.27948</v>
      </c>
      <c r="D18" t="n">
        <v>7</v>
      </c>
      <c r="E18" t="n">
        <v>3</v>
      </c>
      <c r="F18" t="n">
        <v>1</v>
      </c>
      <c r="G18" s="4" t="n">
        <v>0.09682713778347898</v>
      </c>
      <c r="I18" t="n">
        <v>14</v>
      </c>
      <c r="J18" t="inlineStr">
        <is>
          <t>Apellis Pharmaceuticals Inc</t>
        </is>
      </c>
      <c r="K18" s="10" t="n">
        <v>-1817846873.185484</v>
      </c>
      <c r="L18" t="n">
        <v>0</v>
      </c>
      <c r="M18" t="n">
        <v>9</v>
      </c>
      <c r="N18" t="n">
        <v>9</v>
      </c>
      <c r="O18" s="4" t="n"/>
    </row>
    <row r="19">
      <c r="A19" t="n">
        <v>15</v>
      </c>
      <c r="B19" t="inlineStr">
        <is>
          <t>Honeywell Aerospace Inc</t>
        </is>
      </c>
      <c r="C19" s="10" t="n">
        <v>20347674363.72577</v>
      </c>
      <c r="D19" t="n">
        <v>9</v>
      </c>
      <c r="E19" t="n">
        <v>0</v>
      </c>
      <c r="F19" t="n">
        <v>9</v>
      </c>
      <c r="G19" s="4" t="n">
        <v>1.000063634108312</v>
      </c>
      <c r="I19" t="n">
        <v>15</v>
      </c>
      <c r="J19" t="inlineStr">
        <is>
          <t>Echostar Corp</t>
        </is>
      </c>
      <c r="K19" s="10" t="n">
        <v>-1791599642</v>
      </c>
      <c r="L19" t="n">
        <v>4</v>
      </c>
      <c r="M19" t="n">
        <v>6</v>
      </c>
      <c r="N19" t="n">
        <v>0</v>
      </c>
      <c r="O19" s="4" t="n">
        <v>-0.3380667862493312</v>
      </c>
    </row>
    <row r="20">
      <c r="A20" t="n">
        <v>16</v>
      </c>
      <c r="B20" t="inlineStr">
        <is>
          <t>Honeywell Intl Inc</t>
        </is>
      </c>
      <c r="C20" s="10" t="n">
        <v>20027050751.2</v>
      </c>
      <c r="D20" t="n">
        <v>9</v>
      </c>
      <c r="E20" t="n">
        <v>0</v>
      </c>
      <c r="F20" t="n">
        <v>9</v>
      </c>
      <c r="G20" s="4" t="n">
        <v>0.9992516942105137</v>
      </c>
      <c r="I20" t="n">
        <v>16</v>
      </c>
      <c r="J20" t="inlineStr">
        <is>
          <t>Berkshire Hathaway Inc Del</t>
        </is>
      </c>
      <c r="K20" s="10" t="n">
        <v>-1758299800</v>
      </c>
      <c r="L20" t="n">
        <v>4</v>
      </c>
      <c r="M20" t="n">
        <v>5</v>
      </c>
      <c r="N20" t="n">
        <v>0</v>
      </c>
      <c r="O20" s="4" t="n">
        <v>-0.115221602609685</v>
      </c>
    </row>
    <row r="21">
      <c r="A21" t="n">
        <v>17</v>
      </c>
      <c r="B21" t="inlineStr">
        <is>
          <t>Applied Matls Inc</t>
        </is>
      </c>
      <c r="C21" s="10" t="n">
        <v>18683510058</v>
      </c>
      <c r="D21" t="n">
        <v>10</v>
      </c>
      <c r="E21" t="n">
        <v>0</v>
      </c>
      <c r="F21" t="n">
        <v>1</v>
      </c>
      <c r="G21" s="4" t="n">
        <v>0.09147773467991423</v>
      </c>
      <c r="I21" t="n">
        <v>17</v>
      </c>
      <c r="J21" t="inlineStr">
        <is>
          <t>Topbuild Cor</t>
        </is>
      </c>
      <c r="K21" s="10" t="n">
        <v>-1635885127.773881</v>
      </c>
      <c r="L21" t="n">
        <v>4</v>
      </c>
      <c r="M21" t="n">
        <v>6</v>
      </c>
      <c r="N21" t="n">
        <v>0</v>
      </c>
      <c r="O21" s="4" t="n">
        <v>-0.7901265341666442</v>
      </c>
    </row>
    <row r="22">
      <c r="A22" t="n">
        <v>18</v>
      </c>
      <c r="B22" t="inlineStr">
        <is>
          <t>Unitedhealth Group Inc</t>
        </is>
      </c>
      <c r="C22" s="10" t="n">
        <v>15870385305.74626</v>
      </c>
      <c r="D22" t="n">
        <v>7</v>
      </c>
      <c r="E22" t="n">
        <v>3</v>
      </c>
      <c r="F22" t="n">
        <v>1</v>
      </c>
      <c r="G22" s="4" t="n">
        <v>0.1240551433063047</v>
      </c>
      <c r="I22" t="n">
        <v>18</v>
      </c>
      <c r="J22" t="inlineStr">
        <is>
          <t>Qualcomm Inc</t>
        </is>
      </c>
      <c r="K22" s="10" t="n">
        <v>-1581669723.817693</v>
      </c>
      <c r="L22" t="n">
        <v>3</v>
      </c>
      <c r="M22" t="n">
        <v>7</v>
      </c>
      <c r="N22" t="n">
        <v>0</v>
      </c>
      <c r="O22" s="4" t="n">
        <v>-0.02402912642962789</v>
      </c>
    </row>
    <row r="23">
      <c r="A23" t="n">
        <v>19</v>
      </c>
      <c r="B23" t="inlineStr">
        <is>
          <t>Mastercard Incorporated</t>
        </is>
      </c>
      <c r="C23" s="10" t="n">
        <v>14229706070.4</v>
      </c>
      <c r="D23" t="n">
        <v>4</v>
      </c>
      <c r="E23" t="n">
        <v>6</v>
      </c>
      <c r="F23" t="n">
        <v>1</v>
      </c>
      <c r="G23" s="4" t="n">
        <v>0.1012629427521377</v>
      </c>
      <c r="I23" t="n">
        <v>19</v>
      </c>
      <c r="J23" t="inlineStr">
        <is>
          <t>Netflix Inc.</t>
        </is>
      </c>
      <c r="K23" s="10" t="n">
        <v>-1581266740.199999</v>
      </c>
      <c r="L23" t="n">
        <v>7</v>
      </c>
      <c r="M23" t="n">
        <v>3</v>
      </c>
      <c r="N23" t="n">
        <v>0</v>
      </c>
      <c r="O23" s="4" t="n">
        <v>-0.01534514129063195</v>
      </c>
    </row>
    <row r="24">
      <c r="A24" t="n">
        <v>20</v>
      </c>
      <c r="B24" t="inlineStr">
        <is>
          <t>Johnson &amp; Johnson</t>
        </is>
      </c>
      <c r="C24" s="10" t="n">
        <v>14012149859.4824</v>
      </c>
      <c r="D24" t="n">
        <v>6</v>
      </c>
      <c r="E24" t="n">
        <v>4</v>
      </c>
      <c r="F24" t="n">
        <v>1</v>
      </c>
      <c r="G24" s="4" t="n">
        <v>0.06963805865328405</v>
      </c>
      <c r="I24" t="n">
        <v>20</v>
      </c>
      <c r="J24" t="inlineStr">
        <is>
          <t>Arcellx Inc</t>
        </is>
      </c>
      <c r="K24" s="10" t="n">
        <v>-1496286988.884615</v>
      </c>
      <c r="L24" t="n">
        <v>0</v>
      </c>
      <c r="M24" t="n">
        <v>9</v>
      </c>
      <c r="N24" t="n">
        <v>9</v>
      </c>
      <c r="O24" s="4" t="n"/>
    </row>
    <row r="26">
      <c r="A26" s="6" t="inlineStr">
        <is>
          <t>Breadth: most managers adding (net count)</t>
        </is>
      </c>
      <c r="I26" s="6" t="inlineStr">
        <is>
          <t>Breadth: most managers cutting (net count)</t>
        </is>
      </c>
    </row>
    <row r="27">
      <c r="A27" s="2" t="inlineStr">
        <is>
          <t>#</t>
        </is>
      </c>
      <c r="B27" s="2" t="inlineStr">
        <is>
          <t>Issuer</t>
        </is>
      </c>
      <c r="C27" s="2" t="inlineStr">
        <is>
          <t>Net mgrs</t>
        </is>
      </c>
      <c r="D27" s="2" t="inlineStr">
        <is>
          <t>Buyers</t>
        </is>
      </c>
      <c r="E27" s="2" t="inlineStr">
        <is>
          <t>Sellers</t>
        </is>
      </c>
      <c r="F27" s="2" t="inlineStr">
        <is>
          <t>Net $</t>
        </is>
      </c>
      <c r="G27" s="2" t="inlineStr"/>
      <c r="H27" s="2" t="inlineStr"/>
      <c r="I27" s="2" t="inlineStr">
        <is>
          <t>#</t>
        </is>
      </c>
      <c r="J27" s="2" t="inlineStr">
        <is>
          <t>Issuer</t>
        </is>
      </c>
      <c r="K27" s="2" t="inlineStr">
        <is>
          <t>Net mgrs</t>
        </is>
      </c>
      <c r="L27" s="2" t="inlineStr">
        <is>
          <t>Buyers</t>
        </is>
      </c>
      <c r="M27" s="2" t="inlineStr">
        <is>
          <t>Sellers</t>
        </is>
      </c>
      <c r="N27" s="2" t="inlineStr">
        <is>
          <t>Net $</t>
        </is>
      </c>
    </row>
    <row r="28">
      <c r="A28" t="n">
        <v>1</v>
      </c>
      <c r="B28" t="inlineStr">
        <is>
          <t>Iren Limited</t>
        </is>
      </c>
      <c r="C28" t="n">
        <v>10</v>
      </c>
      <c r="D28" t="n">
        <v>10</v>
      </c>
      <c r="E28" t="n">
        <v>0</v>
      </c>
      <c r="F28" s="10" t="n">
        <v>1545774880.38</v>
      </c>
      <c r="I28" t="n">
        <v>1</v>
      </c>
      <c r="J28" t="inlineStr">
        <is>
          <t>Clearwater Analytics Hldgs I</t>
        </is>
      </c>
      <c r="K28" t="n">
        <v>-10</v>
      </c>
      <c r="L28" t="n">
        <v>0</v>
      </c>
      <c r="M28" t="n">
        <v>10</v>
      </c>
      <c r="N28" s="10" t="n">
        <v>-1963698831.081633</v>
      </c>
    </row>
    <row r="29">
      <c r="A29" t="n">
        <v>2</v>
      </c>
      <c r="B29" t="inlineStr">
        <is>
          <t>Coty Inc</t>
        </is>
      </c>
      <c r="C29" t="n">
        <v>10</v>
      </c>
      <c r="D29" t="n">
        <v>10</v>
      </c>
      <c r="E29" t="n">
        <v>0</v>
      </c>
      <c r="F29" s="10" t="n">
        <v>91839782.88</v>
      </c>
      <c r="I29" t="n">
        <v>2</v>
      </c>
      <c r="J29" t="inlineStr">
        <is>
          <t>Hologic Inc</t>
        </is>
      </c>
      <c r="K29" t="n">
        <v>-10</v>
      </c>
      <c r="L29" t="n">
        <v>0</v>
      </c>
      <c r="M29" t="n">
        <v>10</v>
      </c>
      <c r="N29" s="10" t="n">
        <v>-5526540664.649499</v>
      </c>
    </row>
    <row r="30">
      <c r="A30" t="n">
        <v>3</v>
      </c>
      <c r="B30" t="inlineStr">
        <is>
          <t>Precision Biosciences Inc</t>
        </is>
      </c>
      <c r="C30" t="n">
        <v>10</v>
      </c>
      <c r="D30" t="n">
        <v>10</v>
      </c>
      <c r="E30" t="n">
        <v>0</v>
      </c>
      <c r="F30" s="10" t="n">
        <v>17692120.7138763</v>
      </c>
      <c r="I30" t="n">
        <v>3</v>
      </c>
      <c r="J30" t="inlineStr">
        <is>
          <t>Enviri Corp</t>
        </is>
      </c>
      <c r="K30" t="n">
        <v>-10</v>
      </c>
      <c r="L30" t="n">
        <v>0</v>
      </c>
      <c r="M30" t="n">
        <v>10</v>
      </c>
      <c r="N30" s="10" t="n">
        <v>-574602981.7448695</v>
      </c>
    </row>
    <row r="31">
      <c r="A31" t="n">
        <v>4</v>
      </c>
      <c r="B31" t="inlineStr">
        <is>
          <t>Concentrix Corp</t>
        </is>
      </c>
      <c r="C31" t="n">
        <v>10</v>
      </c>
      <c r="D31" t="n">
        <v>10</v>
      </c>
      <c r="E31" t="n">
        <v>0</v>
      </c>
      <c r="F31" s="10" t="n">
        <v>144058719.9330122</v>
      </c>
      <c r="I31" t="n">
        <v>4</v>
      </c>
      <c r="J31" t="inlineStr">
        <is>
          <t>Veris Residential Inc</t>
        </is>
      </c>
      <c r="K31" t="n">
        <v>-9</v>
      </c>
      <c r="L31" t="n">
        <v>0</v>
      </c>
      <c r="M31" t="n">
        <v>9</v>
      </c>
      <c r="N31" s="10" t="n">
        <v>-717224243.0456047</v>
      </c>
    </row>
    <row r="32">
      <c r="A32" t="n">
        <v>5</v>
      </c>
      <c r="B32" t="inlineStr">
        <is>
          <t>Versigent Plc</t>
        </is>
      </c>
      <c r="C32" t="n">
        <v>10</v>
      </c>
      <c r="D32" t="n">
        <v>10</v>
      </c>
      <c r="E32" t="n">
        <v>0</v>
      </c>
      <c r="F32" s="10" t="n">
        <v>1214242209.808288</v>
      </c>
      <c r="I32" t="n">
        <v>5</v>
      </c>
      <c r="J32" t="inlineStr">
        <is>
          <t>Apellis Pharmaceuticals Inc</t>
        </is>
      </c>
      <c r="K32" t="n">
        <v>-9</v>
      </c>
      <c r="L32" t="n">
        <v>0</v>
      </c>
      <c r="M32" t="n">
        <v>9</v>
      </c>
      <c r="N32" s="10" t="n">
        <v>-1817846873.185484</v>
      </c>
    </row>
    <row r="33">
      <c r="A33" t="n">
        <v>6</v>
      </c>
      <c r="B33" t="inlineStr">
        <is>
          <t>Ondas Inc</t>
        </is>
      </c>
      <c r="C33" t="n">
        <v>10</v>
      </c>
      <c r="D33" t="n">
        <v>10</v>
      </c>
      <c r="E33" t="n">
        <v>0</v>
      </c>
      <c r="F33" s="10" t="n">
        <v>620282570.64</v>
      </c>
      <c r="I33" t="n">
        <v>6</v>
      </c>
      <c r="J33" t="inlineStr">
        <is>
          <t>Coterra Energy Inc</t>
        </is>
      </c>
      <c r="K33" t="n">
        <v>-9</v>
      </c>
      <c r="L33" t="n">
        <v>0</v>
      </c>
      <c r="M33" t="n">
        <v>9</v>
      </c>
      <c r="N33" s="10" t="n">
        <v>-8122419921</v>
      </c>
    </row>
    <row r="34">
      <c r="A34" t="n">
        <v>7</v>
      </c>
      <c r="B34" t="inlineStr">
        <is>
          <t>Black Diamond Therapeutics I</t>
        </is>
      </c>
      <c r="C34" t="n">
        <v>10</v>
      </c>
      <c r="D34" t="n">
        <v>10</v>
      </c>
      <c r="E34" t="n">
        <v>0</v>
      </c>
      <c r="F34" s="10" t="n">
        <v>9078571.6</v>
      </c>
      <c r="I34" t="n">
        <v>7</v>
      </c>
      <c r="J34" t="inlineStr">
        <is>
          <t>Cardlytics, Inc.</t>
        </is>
      </c>
      <c r="K34" t="n">
        <v>-9</v>
      </c>
      <c r="L34" t="n">
        <v>0</v>
      </c>
      <c r="M34" t="n">
        <v>9</v>
      </c>
      <c r="N34" s="10" t="n">
        <v>-19798909.61926469</v>
      </c>
    </row>
    <row r="35">
      <c r="A35" t="n">
        <v>8</v>
      </c>
      <c r="B35" t="inlineStr">
        <is>
          <t>Navan Inc</t>
        </is>
      </c>
      <c r="C35" t="n">
        <v>10</v>
      </c>
      <c r="D35" t="n">
        <v>10</v>
      </c>
      <c r="E35" t="n">
        <v>0</v>
      </c>
      <c r="F35" s="10" t="n">
        <v>345950281.92</v>
      </c>
      <c r="I35" t="n">
        <v>8</v>
      </c>
      <c r="J35" t="inlineStr">
        <is>
          <t>Arcellx Inc</t>
        </is>
      </c>
      <c r="K35" t="n">
        <v>-9</v>
      </c>
      <c r="L35" t="n">
        <v>0</v>
      </c>
      <c r="M35" t="n">
        <v>9</v>
      </c>
      <c r="N35" s="10" t="n">
        <v>-1496286988.884615</v>
      </c>
    </row>
    <row r="36">
      <c r="A36" t="n">
        <v>9</v>
      </c>
      <c r="B36" t="inlineStr">
        <is>
          <t>Nelnet Inc</t>
        </is>
      </c>
      <c r="C36" t="n">
        <v>10</v>
      </c>
      <c r="D36" t="n">
        <v>10</v>
      </c>
      <c r="E36" t="n">
        <v>0</v>
      </c>
      <c r="F36" s="10" t="n">
        <v>67134724.1402214</v>
      </c>
      <c r="I36" t="n">
        <v>9</v>
      </c>
      <c r="J36" t="inlineStr">
        <is>
          <t>Linkbancorp Inc</t>
        </is>
      </c>
      <c r="K36" t="n">
        <v>-9</v>
      </c>
      <c r="L36" t="n">
        <v>0</v>
      </c>
      <c r="M36" t="n">
        <v>9</v>
      </c>
      <c r="N36" s="10" t="n">
        <v>-31368498.73786408</v>
      </c>
    </row>
    <row r="37">
      <c r="A37" t="n">
        <v>10</v>
      </c>
      <c r="B37" t="inlineStr">
        <is>
          <t>Neurocrine Biosciences Inc</t>
        </is>
      </c>
      <c r="C37" t="n">
        <v>10</v>
      </c>
      <c r="D37" t="n">
        <v>10</v>
      </c>
      <c r="E37" t="n">
        <v>0</v>
      </c>
      <c r="F37" s="10" t="n">
        <v>1357452372.311637</v>
      </c>
      <c r="I37" t="n">
        <v>10</v>
      </c>
      <c r="J37" t="inlineStr">
        <is>
          <t>Clearway Energy Inc</t>
        </is>
      </c>
      <c r="K37" t="n">
        <v>-9</v>
      </c>
      <c r="L37" t="n">
        <v>0</v>
      </c>
      <c r="M37" t="n">
        <v>9</v>
      </c>
      <c r="N37" s="10" t="n">
        <v>-432635030.6742795</v>
      </c>
    </row>
    <row r="39">
      <c r="A39" s="6" t="inlineStr">
        <is>
          <t>ETF flows (net buys)</t>
        </is>
      </c>
      <c r="I39" s="6" t="inlineStr">
        <is>
          <t>ETF flows (net sells)</t>
        </is>
      </c>
    </row>
    <row r="40">
      <c r="B40" t="inlineStr">
        <is>
          <t>Vanguard Index Fds</t>
        </is>
      </c>
      <c r="C40" s="10" t="n">
        <v>32660897700.52952</v>
      </c>
      <c r="J40" t="inlineStr">
        <is>
          <t>Ishares Tr</t>
        </is>
      </c>
      <c r="K40" s="10" t="n">
        <v>-4208667846.45</v>
      </c>
    </row>
    <row r="41">
      <c r="B41" t="inlineStr">
        <is>
          <t>State Str Spdr S&amp;P 500 Etf T</t>
        </is>
      </c>
      <c r="C41" s="10" t="n">
        <v>28451553714.79767</v>
      </c>
      <c r="J41" t="inlineStr">
        <is>
          <t>Invesco Exchange Traded Fd T</t>
        </is>
      </c>
      <c r="K41" s="10" t="n">
        <v>-2444620942.53955</v>
      </c>
    </row>
    <row r="42">
      <c r="B42" t="inlineStr">
        <is>
          <t>Ishares Tr</t>
        </is>
      </c>
      <c r="C42" s="10" t="n">
        <v>19351620275.55072</v>
      </c>
      <c r="J42" t="inlineStr">
        <is>
          <t>Ishares Tr</t>
        </is>
      </c>
      <c r="K42" s="10" t="n">
        <v>-693261462.24</v>
      </c>
    </row>
    <row r="43">
      <c r="B43" t="inlineStr">
        <is>
          <t>Vanguard Index Fds</t>
        </is>
      </c>
      <c r="C43" s="10" t="n">
        <v>17288595724.49618</v>
      </c>
      <c r="J43" t="inlineStr">
        <is>
          <t>Vaneck Etf Trust</t>
        </is>
      </c>
      <c r="K43" s="10" t="n">
        <v>-653875107.9777149</v>
      </c>
    </row>
    <row r="44">
      <c r="B44" t="inlineStr">
        <is>
          <t>Vanguard Charlotte Fds</t>
        </is>
      </c>
      <c r="C44" s="10" t="n">
        <v>15312933916.3199</v>
      </c>
      <c r="J44" t="inlineStr">
        <is>
          <t>Spdr Series Trust</t>
        </is>
      </c>
      <c r="K44" s="10" t="n">
        <v>-518057492.4637274</v>
      </c>
    </row>
    <row r="45">
      <c r="B45" t="inlineStr">
        <is>
          <t>Vanguard Bd Index Fds</t>
        </is>
      </c>
      <c r="C45" s="10" t="n">
        <v>11622700746.13877</v>
      </c>
      <c r="J45" t="inlineStr">
        <is>
          <t>Ishares Tr</t>
        </is>
      </c>
      <c r="K45" s="10" t="n">
        <v>-459377522.8506833</v>
      </c>
    </row>
    <row r="46">
      <c r="B46" t="inlineStr">
        <is>
          <t>J P Morgan Exchange Traded F</t>
        </is>
      </c>
      <c r="C46" s="10" t="n">
        <v>10378081634.9573</v>
      </c>
      <c r="J46" t="inlineStr">
        <is>
          <t>Spdr Series Trust</t>
        </is>
      </c>
      <c r="K46" s="10" t="n">
        <v>-409598542.72</v>
      </c>
    </row>
    <row r="47">
      <c r="B47" t="inlineStr">
        <is>
          <t>Spdr Series Trust</t>
        </is>
      </c>
      <c r="C47" s="10" t="n">
        <v>7667075980.82893</v>
      </c>
      <c r="J47" t="inlineStr">
        <is>
          <t>Vanguard Intl Equity Index F</t>
        </is>
      </c>
      <c r="K47" s="10" t="n">
        <v>-356820353.606436</v>
      </c>
    </row>
    <row r="48">
      <c r="B48" t="inlineStr">
        <is>
          <t>J P Morgan Exchange Traded F</t>
        </is>
      </c>
      <c r="C48" s="10" t="n">
        <v>7121236171.000001</v>
      </c>
      <c r="J48" t="inlineStr">
        <is>
          <t>Ishares Tr</t>
        </is>
      </c>
      <c r="K48" s="10" t="n">
        <v>-344309898.4</v>
      </c>
    </row>
    <row r="49">
      <c r="B49" t="inlineStr">
        <is>
          <t>J P Morgan Exchange Traded F</t>
        </is>
      </c>
      <c r="C49" s="10" t="n">
        <v>6860181637.765192</v>
      </c>
      <c r="J49" t="inlineStr">
        <is>
          <t>Vanguard World Fd</t>
        </is>
      </c>
      <c r="K49" s="10" t="n">
        <v>-301271353.6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8" customWidth="1" min="4" max="4"/>
    <col width="8" customWidth="1" min="5" max="5"/>
    <col width="7" customWidth="1" min="6" max="6"/>
    <col width="10" customWidth="1" min="7" max="7"/>
    <col width="3" customWidth="1" min="8" max="8"/>
    <col width="4" customWidth="1" min="9" max="9"/>
    <col width="34" customWidth="1" min="10" max="10"/>
    <col width="11" customWidth="1" min="11" max="11"/>
    <col width="8" customWidth="1" min="12" max="12"/>
    <col width="8" customWidth="1" min="13" max="13"/>
    <col width="7" customWidth="1" min="14" max="14"/>
    <col width="10" customWidth="1" min="15" max="15"/>
  </cols>
  <sheetData>
    <row r="1">
      <c r="A1" s="1" t="inlineStr">
        <is>
          <t>$10B+ (ex top 10) - 2026Q2</t>
        </is>
      </c>
    </row>
    <row r="2">
      <c r="A2" t="inlineStr">
        <is>
          <t>521 managers | net 2,858.1bn | turnover 10.2% | P/C 1.24</t>
        </is>
      </c>
    </row>
    <row r="4">
      <c r="A4" s="2" t="inlineStr">
        <is>
          <t>#</t>
        </is>
      </c>
      <c r="B4" s="2" t="inlineStr">
        <is>
          <t>Top buys</t>
        </is>
      </c>
      <c r="C4" s="2" t="inlineStr">
        <is>
          <t>Net $</t>
        </is>
      </c>
      <c r="D4" s="2" t="inlineStr">
        <is>
          <t>Buyers</t>
        </is>
      </c>
      <c r="E4" s="2" t="inlineStr">
        <is>
          <t>Sellers</t>
        </is>
      </c>
      <c r="F4" s="2" t="inlineStr">
        <is>
          <t>New</t>
        </is>
      </c>
      <c r="G4" s="2" t="inlineStr">
        <is>
          <t>Flow % of held</t>
        </is>
      </c>
      <c r="H4" s="2" t="inlineStr"/>
      <c r="I4" s="2" t="inlineStr">
        <is>
          <t>#</t>
        </is>
      </c>
      <c r="J4" s="2" t="inlineStr">
        <is>
          <t>Top sells</t>
        </is>
      </c>
      <c r="K4" s="2" t="inlineStr">
        <is>
          <t>Net $</t>
        </is>
      </c>
      <c r="L4" s="2" t="inlineStr">
        <is>
          <t>Buyers</t>
        </is>
      </c>
      <c r="M4" s="2" t="inlineStr">
        <is>
          <t>Sellers</t>
        </is>
      </c>
      <c r="N4" s="2" t="inlineStr">
        <is>
          <t>Exits</t>
        </is>
      </c>
      <c r="O4" s="2" t="inlineStr">
        <is>
          <t>Flow % of held</t>
        </is>
      </c>
    </row>
    <row r="5">
      <c r="A5" t="n">
        <v>1</v>
      </c>
      <c r="B5" t="inlineStr">
        <is>
          <t>Space Exploration Techn Corp</t>
        </is>
      </c>
      <c r="C5" s="10" t="n">
        <v>450876172844.68</v>
      </c>
      <c r="D5" t="n">
        <v>326</v>
      </c>
      <c r="E5" t="n">
        <v>0</v>
      </c>
      <c r="F5" t="n">
        <v>326</v>
      </c>
      <c r="G5" s="4" t="n">
        <v>0.9998129830541017</v>
      </c>
      <c r="I5" t="n">
        <v>1</v>
      </c>
      <c r="J5" t="inlineStr">
        <is>
          <t>Palantir Technologies Inc</t>
        </is>
      </c>
      <c r="K5" s="10" t="n">
        <v>-141645976973.1481</v>
      </c>
      <c r="L5" t="n">
        <v>0</v>
      </c>
      <c r="M5" t="n">
        <v>1</v>
      </c>
      <c r="N5" t="n">
        <v>1</v>
      </c>
      <c r="O5" s="4" t="n"/>
    </row>
    <row r="6">
      <c r="A6" t="n">
        <v>2</v>
      </c>
      <c r="B6" t="inlineStr">
        <is>
          <t>Nvidia Corporation</t>
        </is>
      </c>
      <c r="C6" s="10" t="n">
        <v>110040339397.1256</v>
      </c>
      <c r="D6" t="n">
        <v>232</v>
      </c>
      <c r="E6" t="n">
        <v>217</v>
      </c>
      <c r="F6" t="n">
        <v>10</v>
      </c>
      <c r="G6" s="4" t="n">
        <v>0.06849588016271149</v>
      </c>
      <c r="I6" t="n">
        <v>2</v>
      </c>
      <c r="J6" t="inlineStr">
        <is>
          <t>Thomson Reuters Corp</t>
        </is>
      </c>
      <c r="K6" s="10" t="n">
        <v>-29956984820.62996</v>
      </c>
      <c r="L6" t="n">
        <v>0</v>
      </c>
      <c r="M6" t="n">
        <v>191</v>
      </c>
      <c r="N6" t="n">
        <v>189</v>
      </c>
      <c r="O6" s="4" t="n">
        <v>-446.941800569445</v>
      </c>
    </row>
    <row r="7">
      <c r="A7" t="n">
        <v>3</v>
      </c>
      <c r="B7" t="inlineStr">
        <is>
          <t>Berkshire Hathaway Inc Del</t>
        </is>
      </c>
      <c r="C7" s="10" t="n">
        <v>87831867650</v>
      </c>
      <c r="D7" t="n">
        <v>57</v>
      </c>
      <c r="E7" t="n">
        <v>73</v>
      </c>
      <c r="F7" t="n">
        <v>10</v>
      </c>
      <c r="G7" s="4" t="n">
        <v>2.689279541671945</v>
      </c>
      <c r="I7" t="n">
        <v>3</v>
      </c>
      <c r="J7" t="inlineStr">
        <is>
          <t>Honeywell Intl Inc</t>
        </is>
      </c>
      <c r="K7" s="10" t="n">
        <v>-28136499879.58287</v>
      </c>
      <c r="L7" t="n">
        <v>6</v>
      </c>
      <c r="M7" t="n">
        <v>350</v>
      </c>
      <c r="N7" t="n">
        <v>339</v>
      </c>
      <c r="O7" s="4" t="n">
        <v>-111.5423149978254</v>
      </c>
    </row>
    <row r="8">
      <c r="A8" t="n">
        <v>4</v>
      </c>
      <c r="B8" t="inlineStr">
        <is>
          <t>Apple Inc</t>
        </is>
      </c>
      <c r="C8" s="10" t="n">
        <v>82548366513.67673</v>
      </c>
      <c r="D8" t="n">
        <v>217</v>
      </c>
      <c r="E8" t="n">
        <v>213</v>
      </c>
      <c r="F8" t="n">
        <v>6</v>
      </c>
      <c r="G8" s="4" t="n">
        <v>0.06149572482506342</v>
      </c>
      <c r="I8" t="n">
        <v>4</v>
      </c>
      <c r="J8" t="inlineStr">
        <is>
          <t>Trip Com Group Ltd</t>
        </is>
      </c>
      <c r="K8" s="10" t="n">
        <v>-18180765739.28572</v>
      </c>
      <c r="L8" t="n">
        <v>1</v>
      </c>
      <c r="M8" t="n">
        <v>2</v>
      </c>
      <c r="N8" t="n">
        <v>2</v>
      </c>
      <c r="O8" s="4" t="n">
        <v>-4616.751076507292</v>
      </c>
    </row>
    <row r="9">
      <c r="A9" t="n">
        <v>5</v>
      </c>
      <c r="B9" t="inlineStr">
        <is>
          <t>Amazon Com Inc</t>
        </is>
      </c>
      <c r="C9" s="10" t="n">
        <v>68782446993.2162</v>
      </c>
      <c r="D9" t="n">
        <v>265</v>
      </c>
      <c r="E9" t="n">
        <v>188</v>
      </c>
      <c r="F9" t="n">
        <v>9</v>
      </c>
      <c r="G9" s="4" t="n">
        <v>0.0785922105517799</v>
      </c>
      <c r="I9" t="n">
        <v>5</v>
      </c>
      <c r="J9" t="inlineStr">
        <is>
          <t>Coterra Energy Inc</t>
        </is>
      </c>
      <c r="K9" s="10" t="n">
        <v>-12225723576</v>
      </c>
      <c r="L9" t="n">
        <v>0</v>
      </c>
      <c r="M9" t="n">
        <v>302</v>
      </c>
      <c r="N9" t="n">
        <v>301</v>
      </c>
      <c r="O9" s="4" t="n">
        <v>-1483.225689185977</v>
      </c>
    </row>
    <row r="10">
      <c r="A10" t="n">
        <v>6</v>
      </c>
      <c r="B10" t="inlineStr">
        <is>
          <t>Alphabet Inc</t>
        </is>
      </c>
      <c r="C10" s="10" t="n">
        <v>55665618017.56746</v>
      </c>
      <c r="D10" t="n">
        <v>222</v>
      </c>
      <c r="E10" t="n">
        <v>199</v>
      </c>
      <c r="F10" t="n">
        <v>9</v>
      </c>
      <c r="G10" s="4" t="n">
        <v>0.09038984483638442</v>
      </c>
      <c r="I10" t="n">
        <v>6</v>
      </c>
      <c r="J10" t="inlineStr">
        <is>
          <t>Carnival Corp</t>
        </is>
      </c>
      <c r="K10" s="10" t="n">
        <v>-11413254793.06761</v>
      </c>
      <c r="L10" t="n">
        <v>4</v>
      </c>
      <c r="M10" t="n">
        <v>317</v>
      </c>
      <c r="N10" t="n">
        <v>313</v>
      </c>
      <c r="O10" s="4" t="n">
        <v>-62.17331130473237</v>
      </c>
    </row>
    <row r="11">
      <c r="A11" t="n">
        <v>7</v>
      </c>
      <c r="B11" t="inlineStr">
        <is>
          <t>Microsoft Corp</t>
        </is>
      </c>
      <c r="C11" s="10" t="n">
        <v>54913661163.24807</v>
      </c>
      <c r="D11" t="n">
        <v>239</v>
      </c>
      <c r="E11" t="n">
        <v>221</v>
      </c>
      <c r="F11" t="n">
        <v>8</v>
      </c>
      <c r="G11" s="4" t="n">
        <v>0.05256710972626569</v>
      </c>
      <c r="I11" t="n">
        <v>7</v>
      </c>
      <c r="J11" t="inlineStr">
        <is>
          <t>Ascendis Pharma A/S</t>
        </is>
      </c>
      <c r="K11" s="10" t="n">
        <v>-11289726013.88004</v>
      </c>
      <c r="L11" t="n">
        <v>2</v>
      </c>
      <c r="M11" t="n">
        <v>118</v>
      </c>
      <c r="N11" t="n">
        <v>118</v>
      </c>
      <c r="O11" s="4" t="n">
        <v>-230.60635242735</v>
      </c>
    </row>
    <row r="12">
      <c r="A12" t="n">
        <v>8</v>
      </c>
      <c r="B12" t="inlineStr">
        <is>
          <t>Alphabet Inc</t>
        </is>
      </c>
      <c r="C12" s="10" t="n">
        <v>51817347405.53271</v>
      </c>
      <c r="D12" t="n">
        <v>204</v>
      </c>
      <c r="E12" t="n">
        <v>241</v>
      </c>
      <c r="F12" t="n">
        <v>3</v>
      </c>
      <c r="G12" s="4" t="n">
        <v>0.05452441696863455</v>
      </c>
      <c r="I12" t="n">
        <v>8</v>
      </c>
      <c r="J12" t="inlineStr">
        <is>
          <t>Strategy Inc</t>
        </is>
      </c>
      <c r="K12" s="10" t="n">
        <v>-11247091428.57143</v>
      </c>
      <c r="L12" t="n">
        <v>0</v>
      </c>
      <c r="M12" t="n">
        <v>1</v>
      </c>
      <c r="N12" t="n">
        <v>1</v>
      </c>
      <c r="O12" s="4" t="n"/>
    </row>
    <row r="13">
      <c r="A13" t="n">
        <v>9</v>
      </c>
      <c r="B13" t="inlineStr">
        <is>
          <t>Meta Platforms Inc</t>
        </is>
      </c>
      <c r="C13" s="10" t="n">
        <v>40519533765.0779</v>
      </c>
      <c r="D13" t="n">
        <v>248</v>
      </c>
      <c r="E13" t="n">
        <v>198</v>
      </c>
      <c r="F13" t="n">
        <v>10</v>
      </c>
      <c r="G13" s="4" t="n">
        <v>0.08197304912128721</v>
      </c>
      <c r="I13" t="n">
        <v>9</v>
      </c>
      <c r="J13" t="inlineStr">
        <is>
          <t>Booking Holdings Inc</t>
        </is>
      </c>
      <c r="K13" s="10" t="n">
        <v>-7321928446.08</v>
      </c>
      <c r="L13" t="n">
        <v>169</v>
      </c>
      <c r="M13" t="n">
        <v>221</v>
      </c>
      <c r="N13" t="n">
        <v>14</v>
      </c>
      <c r="O13" s="4" t="n">
        <v>-0.08650235232260295</v>
      </c>
    </row>
    <row r="14">
      <c r="A14" t="n">
        <v>10</v>
      </c>
      <c r="B14" t="inlineStr">
        <is>
          <t>Advanced Micro Devices Inc</t>
        </is>
      </c>
      <c r="C14" s="10" t="n">
        <v>36913417653.75</v>
      </c>
      <c r="D14" t="n">
        <v>243</v>
      </c>
      <c r="E14" t="n">
        <v>174</v>
      </c>
      <c r="F14" t="n">
        <v>27</v>
      </c>
      <c r="G14" s="4" t="n">
        <v>0.1100935163599953</v>
      </c>
      <c r="I14" t="n">
        <v>10</v>
      </c>
      <c r="J14" t="inlineStr">
        <is>
          <t>Hologic Inc</t>
        </is>
      </c>
      <c r="K14" s="10" t="n">
        <v>-7167443123.231439</v>
      </c>
      <c r="L14" t="n">
        <v>0</v>
      </c>
      <c r="M14" t="n">
        <v>270</v>
      </c>
      <c r="N14" t="n">
        <v>269</v>
      </c>
      <c r="O14" s="4" t="n">
        <v>-63.98071048825421</v>
      </c>
    </row>
    <row r="15">
      <c r="A15" t="n">
        <v>11</v>
      </c>
      <c r="B15" t="inlineStr">
        <is>
          <t>Tesla Inc</t>
        </is>
      </c>
      <c r="C15" s="10" t="n">
        <v>36857690711.4</v>
      </c>
      <c r="D15" t="n">
        <v>252</v>
      </c>
      <c r="E15" t="n">
        <v>153</v>
      </c>
      <c r="F15" t="n">
        <v>10</v>
      </c>
      <c r="G15" s="4" t="n">
        <v>0.1079873577721375</v>
      </c>
      <c r="I15" t="n">
        <v>11</v>
      </c>
      <c r="J15" t="inlineStr">
        <is>
          <t>Dupont De Nemours Inc</t>
        </is>
      </c>
      <c r="K15" s="10" t="n">
        <v>-7153754764.838637</v>
      </c>
      <c r="L15" t="n">
        <v>3</v>
      </c>
      <c r="M15" t="n">
        <v>315</v>
      </c>
      <c r="N15" t="n">
        <v>313</v>
      </c>
      <c r="O15" s="4" t="n">
        <v>-392.4869887440944</v>
      </c>
    </row>
    <row r="16">
      <c r="A16" t="n">
        <v>12</v>
      </c>
      <c r="B16" t="inlineStr">
        <is>
          <t>Broadcom Inc</t>
        </is>
      </c>
      <c r="C16" s="10" t="n">
        <v>30619667608.93092</v>
      </c>
      <c r="D16" t="n">
        <v>237</v>
      </c>
      <c r="E16" t="n">
        <v>203</v>
      </c>
      <c r="F16" t="n">
        <v>8</v>
      </c>
      <c r="G16" s="4" t="n">
        <v>0.03768030213329323</v>
      </c>
      <c r="I16" t="n">
        <v>12</v>
      </c>
      <c r="J16" t="inlineStr">
        <is>
          <t>Immunocore Hldgs Plc</t>
        </is>
      </c>
      <c r="K16" s="10" t="n">
        <v>-6027363970.588235</v>
      </c>
      <c r="L16" t="n">
        <v>0</v>
      </c>
      <c r="M16" t="n">
        <v>1</v>
      </c>
      <c r="N16" t="n">
        <v>1</v>
      </c>
      <c r="O16" s="4" t="n"/>
    </row>
    <row r="17">
      <c r="A17" t="n">
        <v>13</v>
      </c>
      <c r="B17" t="inlineStr">
        <is>
          <t>Honeywell Intl Inc</t>
        </is>
      </c>
      <c r="C17" s="10" t="n">
        <v>30220927576.8</v>
      </c>
      <c r="D17" t="n">
        <v>331</v>
      </c>
      <c r="E17" t="n">
        <v>0</v>
      </c>
      <c r="F17" t="n">
        <v>331</v>
      </c>
      <c r="G17" s="4" t="n">
        <v>0.9879653720444972</v>
      </c>
      <c r="I17" t="n">
        <v>13</v>
      </c>
      <c r="J17" t="inlineStr">
        <is>
          <t>Masimo Corp</t>
        </is>
      </c>
      <c r="K17" s="10" t="n">
        <v>-4718217410.25</v>
      </c>
      <c r="L17" t="n">
        <v>0</v>
      </c>
      <c r="M17" t="n">
        <v>195</v>
      </c>
      <c r="N17" t="n">
        <v>194</v>
      </c>
      <c r="O17" s="4" t="n">
        <v>-13106159.47291667</v>
      </c>
    </row>
    <row r="18">
      <c r="A18" t="n">
        <v>14</v>
      </c>
      <c r="B18" t="inlineStr">
        <is>
          <t>Thomson Reuters Corp</t>
        </is>
      </c>
      <c r="C18" s="10" t="n">
        <v>29459065747.77354</v>
      </c>
      <c r="D18" t="n">
        <v>185</v>
      </c>
      <c r="E18" t="n">
        <v>1</v>
      </c>
      <c r="F18" t="n">
        <v>184</v>
      </c>
      <c r="G18" s="4" t="n">
        <v>0.9965412522572701</v>
      </c>
      <c r="I18" t="n">
        <v>14</v>
      </c>
      <c r="J18" t="inlineStr">
        <is>
          <t>Guardant Health Inc</t>
        </is>
      </c>
      <c r="K18" s="10" t="n">
        <v>-3817497975.324026</v>
      </c>
      <c r="L18" t="n">
        <v>0</v>
      </c>
      <c r="M18" t="n">
        <v>2</v>
      </c>
      <c r="N18" t="n">
        <v>2</v>
      </c>
      <c r="O18" s="4" t="n">
        <v>-7578.731448375313</v>
      </c>
    </row>
    <row r="19">
      <c r="A19" t="n">
        <v>15</v>
      </c>
      <c r="B19" t="inlineStr">
        <is>
          <t>Honeywell Aerospace Inc</t>
        </is>
      </c>
      <c r="C19" s="10" t="n">
        <v>26969034508.64333</v>
      </c>
      <c r="D19" t="n">
        <v>322</v>
      </c>
      <c r="E19" t="n">
        <v>0</v>
      </c>
      <c r="F19" t="n">
        <v>322</v>
      </c>
      <c r="G19" s="4" t="n">
        <v>0.9902127129351581</v>
      </c>
      <c r="I19" t="n">
        <v>15</v>
      </c>
      <c r="J19" t="inlineStr">
        <is>
          <t>Clearwater Analytics Hldgs I</t>
        </is>
      </c>
      <c r="K19" s="10" t="n">
        <v>-3049745950.316327</v>
      </c>
      <c r="L19" t="n">
        <v>0</v>
      </c>
      <c r="M19" t="n">
        <v>149</v>
      </c>
      <c r="N19" t="n">
        <v>147</v>
      </c>
      <c r="O19" s="4" t="n">
        <v>-181101.3034629648</v>
      </c>
    </row>
    <row r="20">
      <c r="A20" t="n">
        <v>16</v>
      </c>
      <c r="B20" t="inlineStr">
        <is>
          <t>Intel Corp</t>
        </is>
      </c>
      <c r="C20" s="10" t="n">
        <v>20225293516.74</v>
      </c>
      <c r="D20" t="n">
        <v>230</v>
      </c>
      <c r="E20" t="n">
        <v>174</v>
      </c>
      <c r="F20" t="n">
        <v>28</v>
      </c>
      <c r="G20" s="4" t="n">
        <v>0.07698685879128726</v>
      </c>
      <c r="I20" t="n">
        <v>16</v>
      </c>
      <c r="J20" t="inlineStr">
        <is>
          <t>Air Lease Corp</t>
        </is>
      </c>
      <c r="K20" s="10" t="n">
        <v>-2995274166.253012</v>
      </c>
      <c r="L20" t="n">
        <v>0</v>
      </c>
      <c r="M20" t="n">
        <v>180</v>
      </c>
      <c r="N20" t="n">
        <v>179</v>
      </c>
      <c r="O20" s="4" t="n">
        <v>-26984451.94822533</v>
      </c>
    </row>
    <row r="21">
      <c r="A21" t="n">
        <v>17</v>
      </c>
      <c r="B21" t="inlineStr">
        <is>
          <t>Unitedhealth Group Inc</t>
        </is>
      </c>
      <c r="C21" s="10" t="n">
        <v>17205979072.32729</v>
      </c>
      <c r="D21" t="n">
        <v>248</v>
      </c>
      <c r="E21" t="n">
        <v>174</v>
      </c>
      <c r="F21" t="n">
        <v>17</v>
      </c>
      <c r="G21" s="4" t="n">
        <v>0.09267949524115621</v>
      </c>
      <c r="I21" t="n">
        <v>17</v>
      </c>
      <c r="J21" t="inlineStr">
        <is>
          <t>Terns Pharmaceuticals Inc</t>
        </is>
      </c>
      <c r="K21" s="10" t="n">
        <v>-2919991726.028526</v>
      </c>
      <c r="L21" t="n">
        <v>0</v>
      </c>
      <c r="M21" t="n">
        <v>139</v>
      </c>
      <c r="N21" t="n">
        <v>139</v>
      </c>
      <c r="O21" s="4" t="n">
        <v>-4997.452876672998</v>
      </c>
    </row>
    <row r="22">
      <c r="A22" t="n">
        <v>18</v>
      </c>
      <c r="B22" t="inlineStr">
        <is>
          <t>Visa Inc</t>
        </is>
      </c>
      <c r="C22" s="10" t="n">
        <v>16079683140.04127</v>
      </c>
      <c r="D22" t="n">
        <v>231</v>
      </c>
      <c r="E22" t="n">
        <v>200</v>
      </c>
      <c r="F22" t="n">
        <v>9</v>
      </c>
      <c r="G22" s="4" t="n">
        <v>0.05715178559363334</v>
      </c>
      <c r="I22" t="n">
        <v>18</v>
      </c>
      <c r="J22" t="inlineStr">
        <is>
          <t>Apellis Pharmaceuticals Inc</t>
        </is>
      </c>
      <c r="K22" s="10" t="n">
        <v>-2747716367.842742</v>
      </c>
      <c r="L22" t="n">
        <v>0</v>
      </c>
      <c r="M22" t="n">
        <v>159</v>
      </c>
      <c r="N22" t="n">
        <v>159</v>
      </c>
      <c r="O22" s="4" t="n"/>
    </row>
    <row r="23">
      <c r="A23" t="n">
        <v>19</v>
      </c>
      <c r="B23" t="inlineStr">
        <is>
          <t>Abbvie Inc</t>
        </is>
      </c>
      <c r="C23" s="10" t="n">
        <v>15962097681</v>
      </c>
      <c r="D23" t="n">
        <v>227</v>
      </c>
      <c r="E23" t="n">
        <v>170</v>
      </c>
      <c r="F23" t="n">
        <v>11</v>
      </c>
      <c r="G23" s="4" t="n">
        <v>0.08371837058366188</v>
      </c>
      <c r="I23" t="n">
        <v>19</v>
      </c>
      <c r="J23" t="inlineStr">
        <is>
          <t>Sealed Air Corp New</t>
        </is>
      </c>
      <c r="K23" s="10" t="n">
        <v>-2676299712.377358</v>
      </c>
      <c r="L23" t="n">
        <v>0</v>
      </c>
      <c r="M23" t="n">
        <v>177</v>
      </c>
      <c r="N23" t="n">
        <v>177</v>
      </c>
      <c r="O23" s="4" t="n"/>
    </row>
    <row r="24">
      <c r="A24" t="n">
        <v>20</v>
      </c>
      <c r="B24" t="inlineStr">
        <is>
          <t>Johnson &amp; Johnson</t>
        </is>
      </c>
      <c r="C24" s="10" t="n">
        <v>15941876422.72088</v>
      </c>
      <c r="D24" t="n">
        <v>211</v>
      </c>
      <c r="E24" t="n">
        <v>194</v>
      </c>
      <c r="F24" t="n">
        <v>13</v>
      </c>
      <c r="G24" s="4" t="n">
        <v>0.06989328664516237</v>
      </c>
      <c r="I24" t="n">
        <v>20</v>
      </c>
      <c r="J24" t="inlineStr">
        <is>
          <t>Canadian Nat Res Ltd Med Ter</t>
        </is>
      </c>
      <c r="K24" s="10" t="n">
        <v>-2409887545.433614</v>
      </c>
      <c r="L24" t="n">
        <v>144</v>
      </c>
      <c r="M24" t="n">
        <v>87</v>
      </c>
      <c r="N24" t="n">
        <v>8</v>
      </c>
      <c r="O24" s="4" t="n">
        <v>-0.04913506803685365</v>
      </c>
    </row>
    <row r="26">
      <c r="A26" s="6" t="inlineStr">
        <is>
          <t>Breadth: most managers adding (net count)</t>
        </is>
      </c>
      <c r="I26" s="6" t="inlineStr">
        <is>
          <t>Breadth: most managers cutting (net count)</t>
        </is>
      </c>
    </row>
    <row r="27">
      <c r="A27" s="2" t="inlineStr">
        <is>
          <t>#</t>
        </is>
      </c>
      <c r="B27" s="2" t="inlineStr">
        <is>
          <t>Issuer</t>
        </is>
      </c>
      <c r="C27" s="2" t="inlineStr">
        <is>
          <t>Net mgrs</t>
        </is>
      </c>
      <c r="D27" s="2" t="inlineStr">
        <is>
          <t>Buyers</t>
        </is>
      </c>
      <c r="E27" s="2" t="inlineStr">
        <is>
          <t>Sellers</t>
        </is>
      </c>
      <c r="F27" s="2" t="inlineStr">
        <is>
          <t>Net $</t>
        </is>
      </c>
      <c r="G27" s="2" t="inlineStr"/>
      <c r="H27" s="2" t="inlineStr"/>
      <c r="I27" s="2" t="inlineStr">
        <is>
          <t>#</t>
        </is>
      </c>
      <c r="J27" s="2" t="inlineStr">
        <is>
          <t>Issuer</t>
        </is>
      </c>
      <c r="K27" s="2" t="inlineStr">
        <is>
          <t>Net mgrs</t>
        </is>
      </c>
      <c r="L27" s="2" t="inlineStr">
        <is>
          <t>Buyers</t>
        </is>
      </c>
      <c r="M27" s="2" t="inlineStr">
        <is>
          <t>Sellers</t>
        </is>
      </c>
      <c r="N27" s="2" t="inlineStr">
        <is>
          <t>Net $</t>
        </is>
      </c>
    </row>
    <row r="28">
      <c r="A28" t="n">
        <v>1</v>
      </c>
      <c r="B28" t="inlineStr">
        <is>
          <t>Honeywell Intl Inc</t>
        </is>
      </c>
      <c r="C28" t="n">
        <v>331</v>
      </c>
      <c r="D28" t="n">
        <v>331</v>
      </c>
      <c r="E28" t="n">
        <v>0</v>
      </c>
      <c r="F28" s="10" t="n">
        <v>30220927576.8</v>
      </c>
      <c r="I28" t="n">
        <v>1</v>
      </c>
      <c r="J28" t="inlineStr">
        <is>
          <t>Honeywell Intl Inc</t>
        </is>
      </c>
      <c r="K28" t="n">
        <v>-344</v>
      </c>
      <c r="L28" t="n">
        <v>6</v>
      </c>
      <c r="M28" t="n">
        <v>350</v>
      </c>
      <c r="N28" s="10" t="n">
        <v>-28136499879.58287</v>
      </c>
    </row>
    <row r="29">
      <c r="A29" t="n">
        <v>2</v>
      </c>
      <c r="B29" t="inlineStr">
        <is>
          <t>Space Exploration Techn Corp</t>
        </is>
      </c>
      <c r="C29" t="n">
        <v>326</v>
      </c>
      <c r="D29" t="n">
        <v>326</v>
      </c>
      <c r="E29" t="n">
        <v>0</v>
      </c>
      <c r="F29" s="10" t="n">
        <v>450876172844.68</v>
      </c>
      <c r="I29" t="n">
        <v>2</v>
      </c>
      <c r="J29" t="inlineStr">
        <is>
          <t>Carnival Corp</t>
        </is>
      </c>
      <c r="K29" t="n">
        <v>-313</v>
      </c>
      <c r="L29" t="n">
        <v>4</v>
      </c>
      <c r="M29" t="n">
        <v>317</v>
      </c>
      <c r="N29" s="10" t="n">
        <v>-11413254793.06761</v>
      </c>
    </row>
    <row r="30">
      <c r="A30" t="n">
        <v>3</v>
      </c>
      <c r="B30" t="inlineStr">
        <is>
          <t>Honeywell Aerospace Inc</t>
        </is>
      </c>
      <c r="C30" t="n">
        <v>322</v>
      </c>
      <c r="D30" t="n">
        <v>322</v>
      </c>
      <c r="E30" t="n">
        <v>0</v>
      </c>
      <c r="F30" s="10" t="n">
        <v>26969034508.64333</v>
      </c>
      <c r="I30" t="n">
        <v>3</v>
      </c>
      <c r="J30" t="inlineStr">
        <is>
          <t>Dupont De Nemours Inc</t>
        </is>
      </c>
      <c r="K30" t="n">
        <v>-312</v>
      </c>
      <c r="L30" t="n">
        <v>3</v>
      </c>
      <c r="M30" t="n">
        <v>315</v>
      </c>
      <c r="N30" s="10" t="n">
        <v>-7153754764.838637</v>
      </c>
    </row>
    <row r="31">
      <c r="A31" t="n">
        <v>4</v>
      </c>
      <c r="B31" t="inlineStr">
        <is>
          <t>Fedex Fght Hldg Co Inc</t>
        </is>
      </c>
      <c r="C31" t="n">
        <v>308</v>
      </c>
      <c r="D31" t="n">
        <v>308</v>
      </c>
      <c r="E31" t="n">
        <v>0</v>
      </c>
      <c r="F31" s="10" t="n">
        <v>7462221888</v>
      </c>
      <c r="I31" t="n">
        <v>4</v>
      </c>
      <c r="J31" t="inlineStr">
        <is>
          <t>Coterra Energy Inc</t>
        </is>
      </c>
      <c r="K31" t="n">
        <v>-302</v>
      </c>
      <c r="L31" t="n">
        <v>0</v>
      </c>
      <c r="M31" t="n">
        <v>302</v>
      </c>
      <c r="N31" s="10" t="n">
        <v>-12225723576</v>
      </c>
    </row>
    <row r="32">
      <c r="A32" t="n">
        <v>5</v>
      </c>
      <c r="B32" t="inlineStr">
        <is>
          <t>Dupont De Nemours Inc</t>
        </is>
      </c>
      <c r="C32" t="n">
        <v>304</v>
      </c>
      <c r="D32" t="n">
        <v>304</v>
      </c>
      <c r="E32" t="n">
        <v>0</v>
      </c>
      <c r="F32" s="10" t="n">
        <v>7322141167.81342</v>
      </c>
      <c r="I32" t="n">
        <v>5</v>
      </c>
      <c r="J32" t="inlineStr">
        <is>
          <t>Hologic Inc</t>
        </is>
      </c>
      <c r="K32" t="n">
        <v>-270</v>
      </c>
      <c r="L32" t="n">
        <v>0</v>
      </c>
      <c r="M32" t="n">
        <v>270</v>
      </c>
      <c r="N32" s="10" t="n">
        <v>-7167443123.231439</v>
      </c>
    </row>
    <row r="33">
      <c r="A33" t="n">
        <v>6</v>
      </c>
      <c r="B33" t="inlineStr">
        <is>
          <t>Carnival Corp Ltd</t>
        </is>
      </c>
      <c r="C33" t="n">
        <v>291</v>
      </c>
      <c r="D33" t="n">
        <v>293</v>
      </c>
      <c r="E33" t="n">
        <v>2</v>
      </c>
      <c r="F33" s="10" t="n">
        <v>12553858539.50387</v>
      </c>
      <c r="I33" t="n">
        <v>6</v>
      </c>
      <c r="J33" t="inlineStr">
        <is>
          <t>Masimo Corp</t>
        </is>
      </c>
      <c r="K33" t="n">
        <v>-195</v>
      </c>
      <c r="L33" t="n">
        <v>0</v>
      </c>
      <c r="M33" t="n">
        <v>195</v>
      </c>
      <c r="N33" s="10" t="n">
        <v>-4718217410.25</v>
      </c>
    </row>
    <row r="34">
      <c r="A34" t="n">
        <v>7</v>
      </c>
      <c r="B34" t="inlineStr">
        <is>
          <t>Devon Energy Corp New</t>
        </is>
      </c>
      <c r="C34" t="n">
        <v>235</v>
      </c>
      <c r="D34" t="n">
        <v>290</v>
      </c>
      <c r="E34" t="n">
        <v>55</v>
      </c>
      <c r="F34" s="10" t="n">
        <v>11774831218.89141</v>
      </c>
      <c r="I34" t="n">
        <v>7</v>
      </c>
      <c r="J34" t="inlineStr">
        <is>
          <t>Thomson Reuters Corp</t>
        </is>
      </c>
      <c r="K34" t="n">
        <v>-191</v>
      </c>
      <c r="L34" t="n">
        <v>0</v>
      </c>
      <c r="M34" t="n">
        <v>191</v>
      </c>
      <c r="N34" s="10" t="n">
        <v>-29956984820.62996</v>
      </c>
    </row>
    <row r="35">
      <c r="A35" t="n">
        <v>8</v>
      </c>
      <c r="B35" t="inlineStr">
        <is>
          <t>Thomson Reuters Corp</t>
        </is>
      </c>
      <c r="C35" t="n">
        <v>184</v>
      </c>
      <c r="D35" t="n">
        <v>185</v>
      </c>
      <c r="E35" t="n">
        <v>1</v>
      </c>
      <c r="F35" s="10" t="n">
        <v>29459065747.77354</v>
      </c>
      <c r="I35" t="n">
        <v>8</v>
      </c>
      <c r="J35" t="inlineStr">
        <is>
          <t>Air Lease Corp</t>
        </is>
      </c>
      <c r="K35" t="n">
        <v>-180</v>
      </c>
      <c r="L35" t="n">
        <v>0</v>
      </c>
      <c r="M35" t="n">
        <v>180</v>
      </c>
      <c r="N35" s="10" t="n">
        <v>-2995274166.253012</v>
      </c>
    </row>
    <row r="36">
      <c r="A36" t="n">
        <v>9</v>
      </c>
      <c r="B36" t="inlineStr">
        <is>
          <t>Coreweave Inc</t>
        </is>
      </c>
      <c r="C36" t="n">
        <v>175</v>
      </c>
      <c r="D36" t="n">
        <v>233</v>
      </c>
      <c r="E36" t="n">
        <v>58</v>
      </c>
      <c r="F36" s="10" t="n">
        <v>3113569890.900001</v>
      </c>
      <c r="I36" t="n">
        <v>9</v>
      </c>
      <c r="J36" t="inlineStr">
        <is>
          <t>Sealed Air Corp New</t>
        </is>
      </c>
      <c r="K36" t="n">
        <v>-177</v>
      </c>
      <c r="L36" t="n">
        <v>0</v>
      </c>
      <c r="M36" t="n">
        <v>177</v>
      </c>
      <c r="N36" s="10" t="n">
        <v>-2676299712.377358</v>
      </c>
    </row>
    <row r="37">
      <c r="A37" t="n">
        <v>10</v>
      </c>
      <c r="B37" t="inlineStr">
        <is>
          <t>Lumentum Hldgs Inc</t>
        </is>
      </c>
      <c r="C37" t="n">
        <v>165</v>
      </c>
      <c r="D37" t="n">
        <v>271</v>
      </c>
      <c r="E37" t="n">
        <v>106</v>
      </c>
      <c r="F37" s="10" t="n">
        <v>4659619319.68984</v>
      </c>
      <c r="I37" t="n">
        <v>10</v>
      </c>
      <c r="J37" t="inlineStr">
        <is>
          <t>Tri Pointe Group Inc</t>
        </is>
      </c>
      <c r="K37" t="n">
        <v>-164</v>
      </c>
      <c r="L37" t="n">
        <v>0</v>
      </c>
      <c r="M37" t="n">
        <v>164</v>
      </c>
      <c r="N37" s="10" t="n">
        <v>-1717936038.054688</v>
      </c>
    </row>
    <row r="39">
      <c r="A39" s="6" t="inlineStr">
        <is>
          <t>ETF flows (net buys)</t>
        </is>
      </c>
      <c r="I39" s="6" t="inlineStr">
        <is>
          <t>ETF flows (net sells)</t>
        </is>
      </c>
    </row>
    <row r="40">
      <c r="B40" t="inlineStr">
        <is>
          <t>Ishares Tr</t>
        </is>
      </c>
      <c r="C40" s="10" t="n">
        <v>66651104084.67046</v>
      </c>
      <c r="J40" t="inlineStr">
        <is>
          <t>Vanguard Index Fds</t>
        </is>
      </c>
      <c r="K40" s="10" t="n">
        <v>-12704369342.56339</v>
      </c>
    </row>
    <row r="41">
      <c r="B41" t="inlineStr">
        <is>
          <t>Vanguard Index Fds</t>
        </is>
      </c>
      <c r="C41" s="10" t="n">
        <v>62678973846.40565</v>
      </c>
      <c r="J41" t="inlineStr">
        <is>
          <t>Ishares Tr</t>
        </is>
      </c>
      <c r="K41" s="10" t="n">
        <v>-4978656165.882045</v>
      </c>
    </row>
    <row r="42">
      <c r="B42" t="inlineStr">
        <is>
          <t>State Str Spdr S&amp;P 500 Etf T</t>
        </is>
      </c>
      <c r="C42" s="10" t="n">
        <v>34756293234.51965</v>
      </c>
      <c r="J42" t="inlineStr">
        <is>
          <t>Ishares Tr</t>
        </is>
      </c>
      <c r="K42" s="10" t="n">
        <v>-4117413440.657277</v>
      </c>
    </row>
    <row r="43">
      <c r="B43" t="inlineStr">
        <is>
          <t>Ishares Tr</t>
        </is>
      </c>
      <c r="C43" s="10" t="n">
        <v>14619154952.13</v>
      </c>
      <c r="J43" t="inlineStr">
        <is>
          <t>Ishares Tr</t>
        </is>
      </c>
      <c r="K43" s="10" t="n">
        <v>-3836371891.048336</v>
      </c>
    </row>
    <row r="44">
      <c r="B44" t="inlineStr">
        <is>
          <t>Vanguard Index Fds</t>
        </is>
      </c>
      <c r="C44" s="10" t="n">
        <v>12971477676.65699</v>
      </c>
      <c r="J44" t="inlineStr">
        <is>
          <t>Ishares Tr</t>
        </is>
      </c>
      <c r="K44" s="10" t="n">
        <v>-3490257021.802561</v>
      </c>
    </row>
    <row r="45">
      <c r="B45" t="inlineStr">
        <is>
          <t>Spdr Series Trust</t>
        </is>
      </c>
      <c r="C45" s="10" t="n">
        <v>12547068235.37433</v>
      </c>
      <c r="J45" t="inlineStr">
        <is>
          <t>Vanguard Intl Equity Index F</t>
        </is>
      </c>
      <c r="K45" s="10" t="n">
        <v>-3142858144.9</v>
      </c>
    </row>
    <row r="46">
      <c r="B46" t="inlineStr">
        <is>
          <t>Schwab Strategic Tr</t>
        </is>
      </c>
      <c r="C46" s="10" t="n">
        <v>10668310881.11112</v>
      </c>
      <c r="J46" t="inlineStr">
        <is>
          <t>Ishares Tr</t>
        </is>
      </c>
      <c r="K46" s="10" t="n">
        <v>-2164621090.74</v>
      </c>
    </row>
    <row r="47">
      <c r="B47" t="inlineStr">
        <is>
          <t>Schwab Strategic Tr</t>
        </is>
      </c>
      <c r="C47" s="10" t="n">
        <v>7738271481.276527</v>
      </c>
      <c r="J47" t="inlineStr">
        <is>
          <t>State Str Spdr Dow Jones Ind</t>
        </is>
      </c>
      <c r="K47" s="10" t="n">
        <v>-1935521106.247739</v>
      </c>
    </row>
    <row r="48">
      <c r="B48" t="inlineStr">
        <is>
          <t>Schwab Strategic Tr</t>
        </is>
      </c>
      <c r="C48" s="10" t="n">
        <v>7378437884.473698</v>
      </c>
      <c r="J48" t="inlineStr">
        <is>
          <t>Select Sector Spdr Tr</t>
        </is>
      </c>
      <c r="K48" s="10" t="n">
        <v>-1913691902.024557</v>
      </c>
    </row>
    <row r="49">
      <c r="B49" t="inlineStr">
        <is>
          <t>Schwab Strategic Tr</t>
        </is>
      </c>
      <c r="C49" s="10" t="n">
        <v>6454809375.624816</v>
      </c>
      <c r="J49" t="inlineStr">
        <is>
          <t>Ishares Tr</t>
        </is>
      </c>
      <c r="K49" s="10" t="n">
        <v>-1899795114.8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8" customWidth="1" min="4" max="4"/>
    <col width="8" customWidth="1" min="5" max="5"/>
    <col width="7" customWidth="1" min="6" max="6"/>
    <col width="10" customWidth="1" min="7" max="7"/>
    <col width="3" customWidth="1" min="8" max="8"/>
    <col width="4" customWidth="1" min="9" max="9"/>
    <col width="34" customWidth="1" min="10" max="10"/>
    <col width="11" customWidth="1" min="11" max="11"/>
    <col width="8" customWidth="1" min="12" max="12"/>
    <col width="8" customWidth="1" min="13" max="13"/>
    <col width="7" customWidth="1" min="14" max="14"/>
    <col width="10" customWidth="1" min="15" max="15"/>
  </cols>
  <sheetData>
    <row r="1">
      <c r="A1" s="1" t="inlineStr">
        <is>
          <t>$1B-10B - 2026Q2</t>
        </is>
      </c>
    </row>
    <row r="2">
      <c r="A2" t="inlineStr">
        <is>
          <t>1941 managers | net 26.8bn | turnover 16.6% | P/C 1.07</t>
        </is>
      </c>
    </row>
    <row r="4">
      <c r="A4" s="2" t="inlineStr">
        <is>
          <t>#</t>
        </is>
      </c>
      <c r="B4" s="2" t="inlineStr">
        <is>
          <t>Top buys</t>
        </is>
      </c>
      <c r="C4" s="2" t="inlineStr">
        <is>
          <t>Net $</t>
        </is>
      </c>
      <c r="D4" s="2" t="inlineStr">
        <is>
          <t>Buyers</t>
        </is>
      </c>
      <c r="E4" s="2" t="inlineStr">
        <is>
          <t>Sellers</t>
        </is>
      </c>
      <c r="F4" s="2" t="inlineStr">
        <is>
          <t>New</t>
        </is>
      </c>
      <c r="G4" s="2" t="inlineStr">
        <is>
          <t>Flow % of held</t>
        </is>
      </c>
      <c r="H4" s="2" t="inlineStr"/>
      <c r="I4" s="2" t="inlineStr">
        <is>
          <t>#</t>
        </is>
      </c>
      <c r="J4" s="2" t="inlineStr">
        <is>
          <t>Top sells</t>
        </is>
      </c>
      <c r="K4" s="2" t="inlineStr">
        <is>
          <t>Net $</t>
        </is>
      </c>
      <c r="L4" s="2" t="inlineStr">
        <is>
          <t>Buyers</t>
        </is>
      </c>
      <c r="M4" s="2" t="inlineStr">
        <is>
          <t>Sellers</t>
        </is>
      </c>
      <c r="N4" s="2" t="inlineStr">
        <is>
          <t>Exits</t>
        </is>
      </c>
      <c r="O4" s="2" t="inlineStr">
        <is>
          <t>Flow % of held</t>
        </is>
      </c>
    </row>
    <row r="5">
      <c r="A5" t="n">
        <v>1</v>
      </c>
      <c r="B5" t="inlineStr">
        <is>
          <t>Space Exploration Techn Corp</t>
        </is>
      </c>
      <c r="C5" s="10" t="n">
        <v>42138421311.52</v>
      </c>
      <c r="D5" t="n">
        <v>567</v>
      </c>
      <c r="E5" t="n">
        <v>0</v>
      </c>
      <c r="F5" t="n">
        <v>567</v>
      </c>
      <c r="G5" s="4" t="n">
        <v>1.000319863250903</v>
      </c>
      <c r="I5" t="n">
        <v>1</v>
      </c>
      <c r="J5" t="inlineStr">
        <is>
          <t>Sandisk Corp</t>
        </is>
      </c>
      <c r="K5" s="10" t="n">
        <v>-6732203028.99</v>
      </c>
      <c r="L5" t="n">
        <v>452</v>
      </c>
      <c r="M5" t="n">
        <v>183</v>
      </c>
      <c r="N5" t="n">
        <v>21</v>
      </c>
      <c r="O5" s="4" t="n">
        <v>-0.6150609069512842</v>
      </c>
    </row>
    <row r="6">
      <c r="A6" t="n">
        <v>2</v>
      </c>
      <c r="B6" t="inlineStr">
        <is>
          <t>Berkshire Hathaway Inc Del</t>
        </is>
      </c>
      <c r="C6" s="10" t="n">
        <v>11898477650</v>
      </c>
      <c r="D6" t="n">
        <v>41</v>
      </c>
      <c r="E6" t="n">
        <v>83</v>
      </c>
      <c r="F6" t="n">
        <v>16</v>
      </c>
      <c r="G6" s="4" t="n">
        <v>1.025898776832692</v>
      </c>
      <c r="I6" t="n">
        <v>2</v>
      </c>
      <c r="J6" t="inlineStr">
        <is>
          <t>Micron Technology Inc</t>
        </is>
      </c>
      <c r="K6" s="10" t="n">
        <v>-5942956718.898306</v>
      </c>
      <c r="L6" t="n">
        <v>615</v>
      </c>
      <c r="M6" t="n">
        <v>468</v>
      </c>
      <c r="N6" t="n">
        <v>26</v>
      </c>
      <c r="O6" s="4" t="n">
        <v>-0.1684455086944171</v>
      </c>
    </row>
    <row r="7">
      <c r="A7" t="n">
        <v>3</v>
      </c>
      <c r="B7" t="inlineStr">
        <is>
          <t>Cerebras Systems Inc</t>
        </is>
      </c>
      <c r="C7" s="10" t="n">
        <v>5859885720</v>
      </c>
      <c r="D7" t="n">
        <v>138</v>
      </c>
      <c r="E7" t="n">
        <v>0</v>
      </c>
      <c r="F7" t="n">
        <v>138</v>
      </c>
      <c r="G7" s="4" t="n">
        <v>0.9996984973363718</v>
      </c>
      <c r="I7" t="n">
        <v>3</v>
      </c>
      <c r="J7" t="inlineStr">
        <is>
          <t>Alphabet Inc</t>
        </is>
      </c>
      <c r="K7" s="10" t="n">
        <v>-5089962303.204297</v>
      </c>
      <c r="L7" t="n">
        <v>631</v>
      </c>
      <c r="M7" t="n">
        <v>703</v>
      </c>
      <c r="N7" t="n">
        <v>22</v>
      </c>
      <c r="O7" s="4" t="n">
        <v>-0.05597421661415244</v>
      </c>
    </row>
    <row r="8">
      <c r="A8" t="n">
        <v>4</v>
      </c>
      <c r="B8" t="inlineStr">
        <is>
          <t>Honeywell Aerospace Inc</t>
        </is>
      </c>
      <c r="C8" s="10" t="n">
        <v>3698363749.412727</v>
      </c>
      <c r="D8" t="n">
        <v>740</v>
      </c>
      <c r="E8" t="n">
        <v>0</v>
      </c>
      <c r="F8" t="n">
        <v>740</v>
      </c>
      <c r="G8" s="4" t="n">
        <v>1.113580187129207</v>
      </c>
      <c r="I8" t="n">
        <v>4</v>
      </c>
      <c r="J8" t="inlineStr">
        <is>
          <t>Honeywell Intl Inc</t>
        </is>
      </c>
      <c r="K8" s="10" t="n">
        <v>-3302435744.346762</v>
      </c>
      <c r="L8" t="n">
        <v>20</v>
      </c>
      <c r="M8" t="n">
        <v>908</v>
      </c>
      <c r="N8" t="n">
        <v>891</v>
      </c>
      <c r="O8" s="4" t="n">
        <v>-15.68287101188471</v>
      </c>
    </row>
    <row r="9">
      <c r="A9" t="n">
        <v>5</v>
      </c>
      <c r="B9" t="inlineStr">
        <is>
          <t>Honeywell Intl Inc</t>
        </is>
      </c>
      <c r="C9" s="10" t="n">
        <v>3343111576.9</v>
      </c>
      <c r="D9" t="n">
        <v>727</v>
      </c>
      <c r="E9" t="n">
        <v>0</v>
      </c>
      <c r="F9" t="n">
        <v>727</v>
      </c>
      <c r="G9" s="4" t="n">
        <v>1.004976311230801</v>
      </c>
      <c r="I9" t="n">
        <v>5</v>
      </c>
      <c r="J9" t="inlineStr">
        <is>
          <t>Nvidia Corporation</t>
        </is>
      </c>
      <c r="K9" s="10" t="n">
        <v>-3195809870.995232</v>
      </c>
      <c r="L9" t="n">
        <v>784</v>
      </c>
      <c r="M9" t="n">
        <v>590</v>
      </c>
      <c r="N9" t="n">
        <v>35</v>
      </c>
      <c r="O9" s="4" t="n">
        <v>-0.02395349881331046</v>
      </c>
    </row>
    <row r="10">
      <c r="A10" t="n">
        <v>6</v>
      </c>
      <c r="B10" t="inlineStr">
        <is>
          <t>Mercadolibre Inc</t>
        </is>
      </c>
      <c r="C10" s="10" t="n">
        <v>2671819167.888038</v>
      </c>
      <c r="D10" t="n">
        <v>274</v>
      </c>
      <c r="E10" t="n">
        <v>262</v>
      </c>
      <c r="F10" t="n">
        <v>47</v>
      </c>
      <c r="G10" s="4" t="n">
        <v>0.4235453384130032</v>
      </c>
      <c r="I10" t="n">
        <v>6</v>
      </c>
      <c r="J10" t="inlineStr">
        <is>
          <t>Arcellx Inc</t>
        </is>
      </c>
      <c r="K10" s="10" t="n">
        <v>-2997197741.48718</v>
      </c>
      <c r="L10" t="n">
        <v>1</v>
      </c>
      <c r="M10" t="n">
        <v>70</v>
      </c>
      <c r="N10" t="n">
        <v>70</v>
      </c>
      <c r="O10" s="4" t="n">
        <v>-2003474.426127794</v>
      </c>
    </row>
    <row r="11">
      <c r="A11" t="n">
        <v>7</v>
      </c>
      <c r="B11" t="inlineStr">
        <is>
          <t>Carnival Corp Ltd</t>
        </is>
      </c>
      <c r="C11" s="10" t="n">
        <v>2210247116.895078</v>
      </c>
      <c r="D11" t="n">
        <v>331</v>
      </c>
      <c r="E11" t="n">
        <v>3</v>
      </c>
      <c r="F11" t="n">
        <v>327</v>
      </c>
      <c r="G11" s="4" t="n">
        <v>0.9987772374449113</v>
      </c>
      <c r="I11" t="n">
        <v>7</v>
      </c>
      <c r="J11" t="inlineStr">
        <is>
          <t>Advanced Micro Devices Inc</t>
        </is>
      </c>
      <c r="K11" s="10" t="n">
        <v>-2923609657.1</v>
      </c>
      <c r="L11" t="n">
        <v>609</v>
      </c>
      <c r="M11" t="n">
        <v>475</v>
      </c>
      <c r="N11" t="n">
        <v>36</v>
      </c>
      <c r="O11" s="4" t="n">
        <v>-0.1157914084153769</v>
      </c>
    </row>
    <row r="12">
      <c r="A12" t="n">
        <v>8</v>
      </c>
      <c r="B12" t="inlineStr">
        <is>
          <t>Amazon Com Inc</t>
        </is>
      </c>
      <c r="C12" s="10" t="n">
        <v>2099982280.977377</v>
      </c>
      <c r="D12" t="n">
        <v>797</v>
      </c>
      <c r="E12" t="n">
        <v>590</v>
      </c>
      <c r="F12" t="n">
        <v>44</v>
      </c>
      <c r="G12" s="4" t="n">
        <v>0.02155579894023485</v>
      </c>
      <c r="I12" t="n">
        <v>8</v>
      </c>
      <c r="J12" t="inlineStr">
        <is>
          <t>Hologic Inc</t>
        </is>
      </c>
      <c r="K12" s="10" t="n">
        <v>-2655480665.201338</v>
      </c>
      <c r="L12" t="n">
        <v>0</v>
      </c>
      <c r="M12" t="n">
        <v>227</v>
      </c>
      <c r="N12" t="n">
        <v>226</v>
      </c>
      <c r="O12" s="4" t="n">
        <v>-646889.3216081213</v>
      </c>
    </row>
    <row r="13">
      <c r="A13" t="n">
        <v>9</v>
      </c>
      <c r="B13" t="inlineStr">
        <is>
          <t>Devon Energy Corp New</t>
        </is>
      </c>
      <c r="C13" s="10" t="n">
        <v>1980085814.610067</v>
      </c>
      <c r="D13" t="n">
        <v>437</v>
      </c>
      <c r="E13" t="n">
        <v>110</v>
      </c>
      <c r="F13" t="n">
        <v>129</v>
      </c>
      <c r="G13" s="4" t="n">
        <v>0.7178713148235923</v>
      </c>
      <c r="I13" t="n">
        <v>9</v>
      </c>
      <c r="J13" t="inlineStr">
        <is>
          <t>Oracle Corp</t>
        </is>
      </c>
      <c r="K13" s="10" t="n">
        <v>-2614153239.35</v>
      </c>
      <c r="L13" t="n">
        <v>24</v>
      </c>
      <c r="M13" t="n">
        <v>24</v>
      </c>
      <c r="N13" t="n">
        <v>16</v>
      </c>
      <c r="O13" s="4" t="n">
        <v>-4.807225131072694</v>
      </c>
    </row>
    <row r="14">
      <c r="A14" t="n">
        <v>10</v>
      </c>
      <c r="B14" t="inlineStr">
        <is>
          <t>Super Micro Computer Inc</t>
        </is>
      </c>
      <c r="C14" s="10" t="n">
        <v>1714557607.442175</v>
      </c>
      <c r="D14" t="n">
        <v>22</v>
      </c>
      <c r="E14" t="n">
        <v>0</v>
      </c>
      <c r="F14" t="n">
        <v>22</v>
      </c>
      <c r="G14" s="4" t="n">
        <v>0.9997322926652586</v>
      </c>
      <c r="I14" t="n">
        <v>10</v>
      </c>
      <c r="J14" t="inlineStr">
        <is>
          <t>Exxon Mobil Corp</t>
        </is>
      </c>
      <c r="K14" s="10" t="n">
        <v>-2545258817.6</v>
      </c>
      <c r="L14" t="n">
        <v>420</v>
      </c>
      <c r="M14" t="n">
        <v>687</v>
      </c>
      <c r="N14" t="n">
        <v>228</v>
      </c>
      <c r="O14" s="4" t="n">
        <v>-0.2100902400938505</v>
      </c>
    </row>
    <row r="15">
      <c r="A15" t="n">
        <v>11</v>
      </c>
      <c r="B15" t="inlineStr">
        <is>
          <t>Topbuild Cor</t>
        </is>
      </c>
      <c r="C15" s="10" t="n">
        <v>1705358828.217155</v>
      </c>
      <c r="D15" t="n">
        <v>63</v>
      </c>
      <c r="E15" t="n">
        <v>120</v>
      </c>
      <c r="F15" t="n">
        <v>31</v>
      </c>
      <c r="G15" s="4" t="n">
        <v>0.7645650265396658</v>
      </c>
      <c r="I15" t="n">
        <v>11</v>
      </c>
      <c r="J15" t="inlineStr">
        <is>
          <t>Coherent Corp</t>
        </is>
      </c>
      <c r="K15" s="10" t="n">
        <v>-2502656927.91</v>
      </c>
      <c r="L15" t="n">
        <v>305</v>
      </c>
      <c r="M15" t="n">
        <v>180</v>
      </c>
      <c r="N15" t="n">
        <v>43</v>
      </c>
      <c r="O15" s="4" t="n">
        <v>-0.9340747532179861</v>
      </c>
    </row>
    <row r="16">
      <c r="A16" t="n">
        <v>12</v>
      </c>
      <c r="B16" t="inlineStr">
        <is>
          <t>X-Energy Inc</t>
        </is>
      </c>
      <c r="C16" s="10" t="n">
        <v>1683521118</v>
      </c>
      <c r="D16" t="n">
        <v>53</v>
      </c>
      <c r="E16" t="n">
        <v>0</v>
      </c>
      <c r="F16" t="n">
        <v>53</v>
      </c>
      <c r="G16" s="4" t="n">
        <v>0.9999783399152209</v>
      </c>
      <c r="I16" t="n">
        <v>12</v>
      </c>
      <c r="J16" t="inlineStr">
        <is>
          <t>Corning Inc</t>
        </is>
      </c>
      <c r="K16" s="10" t="n">
        <v>-2315230292.50163</v>
      </c>
      <c r="L16" t="n">
        <v>498</v>
      </c>
      <c r="M16" t="n">
        <v>371</v>
      </c>
      <c r="N16" t="n">
        <v>32</v>
      </c>
      <c r="O16" s="4" t="n">
        <v>-0.2617453881460176</v>
      </c>
    </row>
    <row r="17">
      <c r="A17" t="n">
        <v>13</v>
      </c>
      <c r="B17" t="inlineStr">
        <is>
          <t>Tesla Inc</t>
        </is>
      </c>
      <c r="C17" s="10" t="n">
        <v>1630397704.833333</v>
      </c>
      <c r="D17" t="n">
        <v>2</v>
      </c>
      <c r="E17" t="n">
        <v>0</v>
      </c>
      <c r="F17" t="n">
        <v>2</v>
      </c>
      <c r="G17" s="4" t="n">
        <v>7.455721950354184</v>
      </c>
      <c r="I17" t="n">
        <v>13</v>
      </c>
      <c r="J17" t="inlineStr">
        <is>
          <t>Goldman Sachs Group Inc</t>
        </is>
      </c>
      <c r="K17" s="10" t="n">
        <v>-2297246065.096647</v>
      </c>
      <c r="L17" t="n">
        <v>517</v>
      </c>
      <c r="M17" t="n">
        <v>399</v>
      </c>
      <c r="N17" t="n">
        <v>19</v>
      </c>
      <c r="O17" s="4" t="n">
        <v>-0.2185560388421902</v>
      </c>
    </row>
    <row r="18">
      <c r="A18" t="n">
        <v>14</v>
      </c>
      <c r="B18" t="inlineStr">
        <is>
          <t>Fervo Energy Co</t>
        </is>
      </c>
      <c r="C18" s="10" t="n">
        <v>1615044868.47</v>
      </c>
      <c r="D18" t="n">
        <v>57</v>
      </c>
      <c r="E18" t="n">
        <v>0</v>
      </c>
      <c r="F18" t="n">
        <v>57</v>
      </c>
      <c r="G18" s="4" t="n">
        <v>0.9999997736719738</v>
      </c>
      <c r="I18" t="n">
        <v>14</v>
      </c>
      <c r="J18" t="inlineStr">
        <is>
          <t>Booking Holdings Inc</t>
        </is>
      </c>
      <c r="K18" s="10" t="n">
        <v>-2196378976.32</v>
      </c>
      <c r="L18" t="n">
        <v>341</v>
      </c>
      <c r="M18" t="n">
        <v>412</v>
      </c>
      <c r="N18" t="n">
        <v>43</v>
      </c>
      <c r="O18" s="4" t="n">
        <v>-0.2719270774194086</v>
      </c>
    </row>
    <row r="19">
      <c r="A19" t="n">
        <v>15</v>
      </c>
      <c r="B19" t="inlineStr">
        <is>
          <t>Dpc Holdings Plc</t>
        </is>
      </c>
      <c r="C19" s="10" t="n">
        <v>1607217914.06</v>
      </c>
      <c r="D19" t="n">
        <v>49</v>
      </c>
      <c r="E19" t="n">
        <v>0</v>
      </c>
      <c r="F19" t="n">
        <v>49</v>
      </c>
      <c r="G19" s="4" t="n">
        <v>1.000199179468317</v>
      </c>
      <c r="I19" t="n">
        <v>15</v>
      </c>
      <c r="J19" t="inlineStr">
        <is>
          <t>Coterra Energy Inc</t>
        </is>
      </c>
      <c r="K19" s="10" t="n">
        <v>-2176236546</v>
      </c>
      <c r="L19" t="n">
        <v>1</v>
      </c>
      <c r="M19" t="n">
        <v>336</v>
      </c>
      <c r="N19" t="n">
        <v>336</v>
      </c>
      <c r="O19" s="4" t="n">
        <v>-2788.34524828438</v>
      </c>
    </row>
    <row r="20">
      <c r="A20" t="n">
        <v>16</v>
      </c>
      <c r="B20" t="inlineStr">
        <is>
          <t>Qualcomm Inc</t>
        </is>
      </c>
      <c r="C20" s="10" t="n">
        <v>1604843313.812199</v>
      </c>
      <c r="D20" t="n">
        <v>469</v>
      </c>
      <c r="E20" t="n">
        <v>499</v>
      </c>
      <c r="F20" t="n">
        <v>122</v>
      </c>
      <c r="G20" s="4" t="n">
        <v>0.1546194924104007</v>
      </c>
      <c r="I20" t="n">
        <v>16</v>
      </c>
      <c r="J20" t="inlineStr">
        <is>
          <t>Palo Alto Networks Inc</t>
        </is>
      </c>
      <c r="K20" s="10" t="n">
        <v>-2128394485.2</v>
      </c>
      <c r="L20" t="n">
        <v>523</v>
      </c>
      <c r="M20" t="n">
        <v>420</v>
      </c>
      <c r="N20" t="n">
        <v>29</v>
      </c>
      <c r="O20" s="4" t="n">
        <v>-0.1480262731364005</v>
      </c>
    </row>
    <row r="21">
      <c r="A21" t="n">
        <v>17</v>
      </c>
      <c r="B21" t="inlineStr">
        <is>
          <t>Exxonmobil Holdings Corp Com Shs</t>
        </is>
      </c>
      <c r="C21" s="10" t="n">
        <v>1597502356.359392</v>
      </c>
      <c r="D21" t="n">
        <v>112</v>
      </c>
      <c r="E21" t="n">
        <v>0</v>
      </c>
      <c r="F21" t="n">
        <v>112</v>
      </c>
      <c r="G21" s="4" t="n">
        <v>0.9995005522561771</v>
      </c>
      <c r="I21" t="n">
        <v>17</v>
      </c>
      <c r="J21" t="inlineStr">
        <is>
          <t>Lumentum Hldgs Inc</t>
        </is>
      </c>
      <c r="K21" s="10" t="n">
        <v>-2062448460.624029</v>
      </c>
      <c r="L21" t="n">
        <v>329</v>
      </c>
      <c r="M21" t="n">
        <v>163</v>
      </c>
      <c r="N21" t="n">
        <v>40</v>
      </c>
      <c r="O21" s="4" t="n">
        <v>-0.4958521074442005</v>
      </c>
    </row>
    <row r="22">
      <c r="A22" t="n">
        <v>18</v>
      </c>
      <c r="B22" t="inlineStr">
        <is>
          <t>Berkshire Hathaway Inc Del</t>
        </is>
      </c>
      <c r="C22" s="10" t="n">
        <v>1518691157.833706</v>
      </c>
      <c r="D22" t="n">
        <v>565</v>
      </c>
      <c r="E22" t="n">
        <v>533</v>
      </c>
      <c r="F22" t="n">
        <v>26</v>
      </c>
      <c r="G22" s="4" t="n">
        <v>0.04781834254011928</v>
      </c>
      <c r="I22" t="n">
        <v>18</v>
      </c>
      <c r="J22" t="inlineStr">
        <is>
          <t>Carnival Corp</t>
        </is>
      </c>
      <c r="K22" s="10" t="n">
        <v>-1997453864.929816</v>
      </c>
      <c r="L22" t="n">
        <v>7</v>
      </c>
      <c r="M22" t="n">
        <v>322</v>
      </c>
      <c r="N22" t="n">
        <v>320</v>
      </c>
      <c r="O22" s="4" t="n">
        <v>-193.6997650171033</v>
      </c>
    </row>
    <row r="23">
      <c r="A23" t="n">
        <v>19</v>
      </c>
      <c r="B23" t="inlineStr">
        <is>
          <t>Sinda Ltd</t>
        </is>
      </c>
      <c r="C23" s="10" t="n">
        <v>1496252496</v>
      </c>
      <c r="D23" t="n">
        <v>5</v>
      </c>
      <c r="E23" t="n">
        <v>0</v>
      </c>
      <c r="F23" t="n">
        <v>5</v>
      </c>
      <c r="G23" s="4" t="n">
        <v>1</v>
      </c>
      <c r="I23" t="n">
        <v>19</v>
      </c>
      <c r="J23" t="inlineStr">
        <is>
          <t>Clearwater Analytics Hldgs I</t>
        </is>
      </c>
      <c r="K23" s="10" t="n">
        <v>-1991826468.173469</v>
      </c>
      <c r="L23" t="n">
        <v>0</v>
      </c>
      <c r="M23" t="n">
        <v>88</v>
      </c>
      <c r="N23" t="n">
        <v>87</v>
      </c>
      <c r="O23" s="4" t="n">
        <v>-413757.0561224489</v>
      </c>
    </row>
    <row r="24">
      <c r="A24" t="n">
        <v>20</v>
      </c>
      <c r="B24" t="inlineStr">
        <is>
          <t>Fedex Fght Hldg Co Inc</t>
        </is>
      </c>
      <c r="C24" s="10" t="n">
        <v>1308681515</v>
      </c>
      <c r="D24" t="n">
        <v>402</v>
      </c>
      <c r="E24" t="n">
        <v>0</v>
      </c>
      <c r="F24" t="n">
        <v>402</v>
      </c>
      <c r="G24" s="4" t="n">
        <v>0.9999395107133418</v>
      </c>
      <c r="I24" t="n">
        <v>20</v>
      </c>
      <c r="J24" t="inlineStr">
        <is>
          <t>Applied Matls Inc</t>
        </is>
      </c>
      <c r="K24" s="10" t="n">
        <v>-1819440345</v>
      </c>
      <c r="L24" t="n">
        <v>522</v>
      </c>
      <c r="M24" t="n">
        <v>505</v>
      </c>
      <c r="N24" t="n">
        <v>36</v>
      </c>
      <c r="O24" s="4" t="n">
        <v>-0.08125612681654384</v>
      </c>
    </row>
    <row r="26">
      <c r="A26" s="6" t="inlineStr">
        <is>
          <t>Breadth: most managers adding (net count)</t>
        </is>
      </c>
      <c r="I26" s="6" t="inlineStr">
        <is>
          <t>Breadth: most managers cutting (net count)</t>
        </is>
      </c>
    </row>
    <row r="27">
      <c r="A27" s="2" t="inlineStr">
        <is>
          <t>#</t>
        </is>
      </c>
      <c r="B27" s="2" t="inlineStr">
        <is>
          <t>Issuer</t>
        </is>
      </c>
      <c r="C27" s="2" t="inlineStr">
        <is>
          <t>Net mgrs</t>
        </is>
      </c>
      <c r="D27" s="2" t="inlineStr">
        <is>
          <t>Buyers</t>
        </is>
      </c>
      <c r="E27" s="2" t="inlineStr">
        <is>
          <t>Sellers</t>
        </is>
      </c>
      <c r="F27" s="2" t="inlineStr">
        <is>
          <t>Net $</t>
        </is>
      </c>
      <c r="G27" s="2" t="inlineStr"/>
      <c r="H27" s="2" t="inlineStr"/>
      <c r="I27" s="2" t="inlineStr">
        <is>
          <t>#</t>
        </is>
      </c>
      <c r="J27" s="2" t="inlineStr">
        <is>
          <t>Issuer</t>
        </is>
      </c>
      <c r="K27" s="2" t="inlineStr">
        <is>
          <t>Net mgrs</t>
        </is>
      </c>
      <c r="L27" s="2" t="inlineStr">
        <is>
          <t>Buyers</t>
        </is>
      </c>
      <c r="M27" s="2" t="inlineStr">
        <is>
          <t>Sellers</t>
        </is>
      </c>
      <c r="N27" s="2" t="inlineStr">
        <is>
          <t>Net $</t>
        </is>
      </c>
    </row>
    <row r="28">
      <c r="A28" t="n">
        <v>1</v>
      </c>
      <c r="B28" t="inlineStr">
        <is>
          <t>Honeywell Aerospace Inc</t>
        </is>
      </c>
      <c r="C28" t="n">
        <v>740</v>
      </c>
      <c r="D28" t="n">
        <v>740</v>
      </c>
      <c r="E28" t="n">
        <v>0</v>
      </c>
      <c r="F28" s="10" t="n">
        <v>3698363749.412727</v>
      </c>
      <c r="I28" t="n">
        <v>1</v>
      </c>
      <c r="J28" t="inlineStr">
        <is>
          <t>Honeywell Intl Inc</t>
        </is>
      </c>
      <c r="K28" t="n">
        <v>-888</v>
      </c>
      <c r="L28" t="n">
        <v>20</v>
      </c>
      <c r="M28" t="n">
        <v>908</v>
      </c>
      <c r="N28" s="10" t="n">
        <v>-3302435744.346762</v>
      </c>
    </row>
    <row r="29">
      <c r="A29" t="n">
        <v>2</v>
      </c>
      <c r="B29" t="inlineStr">
        <is>
          <t>Honeywell Intl Inc</t>
        </is>
      </c>
      <c r="C29" t="n">
        <v>727</v>
      </c>
      <c r="D29" t="n">
        <v>727</v>
      </c>
      <c r="E29" t="n">
        <v>0</v>
      </c>
      <c r="F29" s="10" t="n">
        <v>3343111576.9</v>
      </c>
      <c r="I29" t="n">
        <v>2</v>
      </c>
      <c r="J29" t="inlineStr">
        <is>
          <t>Dupont De Nemours Inc</t>
        </is>
      </c>
      <c r="K29" t="n">
        <v>-423</v>
      </c>
      <c r="L29" t="n">
        <v>9</v>
      </c>
      <c r="M29" t="n">
        <v>432</v>
      </c>
      <c r="N29" s="10" t="n">
        <v>-665770081.8740574</v>
      </c>
    </row>
    <row r="30">
      <c r="A30" t="n">
        <v>3</v>
      </c>
      <c r="B30" t="inlineStr">
        <is>
          <t>Space Exploration Techn Corp</t>
        </is>
      </c>
      <c r="C30" t="n">
        <v>567</v>
      </c>
      <c r="D30" t="n">
        <v>567</v>
      </c>
      <c r="E30" t="n">
        <v>0</v>
      </c>
      <c r="F30" s="10" t="n">
        <v>42138421311.52</v>
      </c>
      <c r="I30" t="n">
        <v>3</v>
      </c>
      <c r="J30" t="inlineStr">
        <is>
          <t>Coterra Energy Inc</t>
        </is>
      </c>
      <c r="K30" t="n">
        <v>-335</v>
      </c>
      <c r="L30" t="n">
        <v>1</v>
      </c>
      <c r="M30" t="n">
        <v>336</v>
      </c>
      <c r="N30" s="10" t="n">
        <v>-2176236546</v>
      </c>
    </row>
    <row r="31">
      <c r="A31" t="n">
        <v>4</v>
      </c>
      <c r="B31" t="inlineStr">
        <is>
          <t>Fedex Fght Hldg Co Inc</t>
        </is>
      </c>
      <c r="C31" t="n">
        <v>402</v>
      </c>
      <c r="D31" t="n">
        <v>402</v>
      </c>
      <c r="E31" t="n">
        <v>0</v>
      </c>
      <c r="F31" s="10" t="n">
        <v>1308681515</v>
      </c>
      <c r="I31" t="n">
        <v>4</v>
      </c>
      <c r="J31" t="inlineStr">
        <is>
          <t>Carnival Corp</t>
        </is>
      </c>
      <c r="K31" t="n">
        <v>-315</v>
      </c>
      <c r="L31" t="n">
        <v>7</v>
      </c>
      <c r="M31" t="n">
        <v>322</v>
      </c>
      <c r="N31" s="10" t="n">
        <v>-1997453864.929816</v>
      </c>
    </row>
    <row r="32">
      <c r="A32" t="n">
        <v>5</v>
      </c>
      <c r="B32" t="inlineStr">
        <is>
          <t>Dupont De Nemours Inc</t>
        </is>
      </c>
      <c r="C32" t="n">
        <v>382</v>
      </c>
      <c r="D32" t="n">
        <v>382</v>
      </c>
      <c r="E32" t="n">
        <v>0</v>
      </c>
      <c r="F32" s="10" t="n">
        <v>645512390.8478532</v>
      </c>
      <c r="I32" t="n">
        <v>5</v>
      </c>
      <c r="J32" t="inlineStr">
        <is>
          <t>Exxon Mobil Corp</t>
        </is>
      </c>
      <c r="K32" t="n">
        <v>-267</v>
      </c>
      <c r="L32" t="n">
        <v>420</v>
      </c>
      <c r="M32" t="n">
        <v>687</v>
      </c>
      <c r="N32" s="10" t="n">
        <v>-2545258817.6</v>
      </c>
    </row>
    <row r="33">
      <c r="A33" t="n">
        <v>6</v>
      </c>
      <c r="B33" t="inlineStr">
        <is>
          <t>Carnival Corp Ltd</t>
        </is>
      </c>
      <c r="C33" t="n">
        <v>328</v>
      </c>
      <c r="D33" t="n">
        <v>331</v>
      </c>
      <c r="E33" t="n">
        <v>3</v>
      </c>
      <c r="F33" s="10" t="n">
        <v>2210247116.895078</v>
      </c>
      <c r="I33" t="n">
        <v>6</v>
      </c>
      <c r="J33" t="inlineStr">
        <is>
          <t>Salesforce Inc</t>
        </is>
      </c>
      <c r="K33" t="n">
        <v>-247</v>
      </c>
      <c r="L33" t="n">
        <v>337</v>
      </c>
      <c r="M33" t="n">
        <v>584</v>
      </c>
      <c r="N33" s="10" t="n">
        <v>-478458799.7608662</v>
      </c>
    </row>
    <row r="34">
      <c r="A34" t="n">
        <v>7</v>
      </c>
      <c r="B34" t="inlineStr">
        <is>
          <t>Devon Energy Corp New</t>
        </is>
      </c>
      <c r="C34" t="n">
        <v>327</v>
      </c>
      <c r="D34" t="n">
        <v>437</v>
      </c>
      <c r="E34" t="n">
        <v>110</v>
      </c>
      <c r="F34" s="10" t="n">
        <v>1980085814.610067</v>
      </c>
      <c r="I34" t="n">
        <v>7</v>
      </c>
      <c r="J34" t="inlineStr">
        <is>
          <t>Intuit</t>
        </is>
      </c>
      <c r="K34" t="n">
        <v>-234</v>
      </c>
      <c r="L34" t="n">
        <v>283</v>
      </c>
      <c r="M34" t="n">
        <v>517</v>
      </c>
      <c r="N34" s="10" t="n">
        <v>-974610540</v>
      </c>
    </row>
    <row r="35">
      <c r="A35" t="n">
        <v>8</v>
      </c>
      <c r="B35" t="inlineStr">
        <is>
          <t>Eli Lilly &amp; Co</t>
        </is>
      </c>
      <c r="C35" t="n">
        <v>295</v>
      </c>
      <c r="D35" t="n">
        <v>721</v>
      </c>
      <c r="E35" t="n">
        <v>426</v>
      </c>
      <c r="F35" s="10" t="n">
        <v>595722102.5740521</v>
      </c>
      <c r="I35" t="n">
        <v>8</v>
      </c>
      <c r="J35" t="inlineStr">
        <is>
          <t>Hologic Inc</t>
        </is>
      </c>
      <c r="K35" t="n">
        <v>-227</v>
      </c>
      <c r="L35" t="n">
        <v>0</v>
      </c>
      <c r="M35" t="n">
        <v>227</v>
      </c>
      <c r="N35" s="10" t="n">
        <v>-2655480665.201338</v>
      </c>
    </row>
    <row r="36">
      <c r="A36" t="n">
        <v>9</v>
      </c>
      <c r="B36" t="inlineStr">
        <is>
          <t>Ge Vernova Inc</t>
        </is>
      </c>
      <c r="C36" t="n">
        <v>277</v>
      </c>
      <c r="D36" t="n">
        <v>623</v>
      </c>
      <c r="E36" t="n">
        <v>346</v>
      </c>
      <c r="F36" s="10" t="n">
        <v>254690872.5724481</v>
      </c>
      <c r="I36" t="n">
        <v>9</v>
      </c>
      <c r="J36" t="inlineStr">
        <is>
          <t>Adobe Inc</t>
        </is>
      </c>
      <c r="K36" t="n">
        <v>-196</v>
      </c>
      <c r="L36" t="n">
        <v>295</v>
      </c>
      <c r="M36" t="n">
        <v>491</v>
      </c>
      <c r="N36" s="10" t="n">
        <v>9847110.615031831</v>
      </c>
    </row>
    <row r="37">
      <c r="A37" t="n">
        <v>10</v>
      </c>
      <c r="B37" t="inlineStr">
        <is>
          <t>Sandisk Corp</t>
        </is>
      </c>
      <c r="C37" t="n">
        <v>269</v>
      </c>
      <c r="D37" t="n">
        <v>452</v>
      </c>
      <c r="E37" t="n">
        <v>183</v>
      </c>
      <c r="F37" s="10" t="n">
        <v>-6732203028.99</v>
      </c>
      <c r="I37" t="n">
        <v>10</v>
      </c>
      <c r="J37" t="inlineStr">
        <is>
          <t>Paypal Hldgs Inc</t>
        </is>
      </c>
      <c r="K37" t="n">
        <v>-182</v>
      </c>
      <c r="L37" t="n">
        <v>175</v>
      </c>
      <c r="M37" t="n">
        <v>357</v>
      </c>
      <c r="N37" s="10" t="n">
        <v>-265993768.5512033</v>
      </c>
    </row>
    <row r="39">
      <c r="A39" s="6" t="inlineStr">
        <is>
          <t>ETF flows (net buys)</t>
        </is>
      </c>
      <c r="I39" s="6" t="inlineStr">
        <is>
          <t>ETF flows (net sells)</t>
        </is>
      </c>
    </row>
    <row r="40">
      <c r="B40" t="inlineStr">
        <is>
          <t>Vanguard Index Fds</t>
        </is>
      </c>
      <c r="C40" s="10" t="n">
        <v>15030810518.65109</v>
      </c>
      <c r="J40" t="inlineStr">
        <is>
          <t>Vanguard Index Fds</t>
        </is>
      </c>
      <c r="K40" s="10" t="n">
        <v>-56451134080.64099</v>
      </c>
    </row>
    <row r="41">
      <c r="B41" t="inlineStr">
        <is>
          <t>Ishares Tr</t>
        </is>
      </c>
      <c r="C41" s="10" t="n">
        <v>10896066489.39385</v>
      </c>
      <c r="J41" t="inlineStr">
        <is>
          <t>Vanguard Scottsdale Fds</t>
        </is>
      </c>
      <c r="K41" s="10" t="n">
        <v>-4535817637.850632</v>
      </c>
    </row>
    <row r="42">
      <c r="B42" t="inlineStr">
        <is>
          <t>Spdr Series Trust</t>
        </is>
      </c>
      <c r="C42" s="10" t="n">
        <v>4199280008.983464</v>
      </c>
      <c r="J42" t="inlineStr">
        <is>
          <t>Ishares Tr</t>
        </is>
      </c>
      <c r="K42" s="10" t="n">
        <v>-4091119827.47</v>
      </c>
    </row>
    <row r="43">
      <c r="B43" t="inlineStr">
        <is>
          <t>Vanguard Index Fds</t>
        </is>
      </c>
      <c r="C43" s="10" t="n">
        <v>3220567496.392238</v>
      </c>
      <c r="J43" t="inlineStr">
        <is>
          <t>Ishares Tr</t>
        </is>
      </c>
      <c r="K43" s="10" t="n">
        <v>-3136536673.56</v>
      </c>
    </row>
    <row r="44">
      <c r="B44" t="inlineStr">
        <is>
          <t>Vaneck Etf Trust</t>
        </is>
      </c>
      <c r="C44" s="10" t="n">
        <v>1358848638.346234</v>
      </c>
      <c r="J44" t="inlineStr">
        <is>
          <t>Spdr Series Trust</t>
        </is>
      </c>
      <c r="K44" s="10" t="n">
        <v>-2115714673.6</v>
      </c>
    </row>
    <row r="45">
      <c r="B45" t="inlineStr">
        <is>
          <t>Invesco Qqq Tr</t>
        </is>
      </c>
      <c r="C45" s="10" t="n">
        <v>1322562617.6</v>
      </c>
      <c r="J45" t="inlineStr">
        <is>
          <t>Schwab Strategic Tr</t>
        </is>
      </c>
      <c r="K45" s="10" t="n">
        <v>-1899483821.825586</v>
      </c>
    </row>
    <row r="46">
      <c r="B46" t="inlineStr">
        <is>
          <t>Vanguard Bd Index Fds</t>
        </is>
      </c>
      <c r="C46" s="10" t="n">
        <v>1197174474.427098</v>
      </c>
      <c r="J46" t="inlineStr">
        <is>
          <t>Ishares Tr</t>
        </is>
      </c>
      <c r="K46" s="10" t="n">
        <v>-1534975863.001013</v>
      </c>
    </row>
    <row r="47">
      <c r="B47" t="inlineStr">
        <is>
          <t>Proshares Tr</t>
        </is>
      </c>
      <c r="C47" s="10" t="n">
        <v>889965118.7323323</v>
      </c>
      <c r="J47" t="inlineStr">
        <is>
          <t>Pimco Etf Tr</t>
        </is>
      </c>
      <c r="K47" s="10" t="n">
        <v>-1337508213.825752</v>
      </c>
    </row>
    <row r="48">
      <c r="B48" t="inlineStr">
        <is>
          <t>Vanguard Admiral Fds Inc</t>
        </is>
      </c>
      <c r="C48" s="10" t="n">
        <v>857603847.5961505</v>
      </c>
      <c r="J48" t="inlineStr">
        <is>
          <t>Vanguard Whitehall Fds</t>
        </is>
      </c>
      <c r="K48" s="10" t="n">
        <v>-1260185193.699893</v>
      </c>
    </row>
    <row r="49">
      <c r="B49" t="inlineStr">
        <is>
          <t>Dimensional Etf Trust</t>
        </is>
      </c>
      <c r="C49" s="10" t="n">
        <v>853829174.1548082</v>
      </c>
      <c r="J49" t="inlineStr">
        <is>
          <t>Ishares Tr</t>
        </is>
      </c>
      <c r="K49" s="10" t="n">
        <v>-1179049865.536342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8" customWidth="1" min="4" max="4"/>
    <col width="8" customWidth="1" min="5" max="5"/>
    <col width="7" customWidth="1" min="6" max="6"/>
    <col width="10" customWidth="1" min="7" max="7"/>
    <col width="3" customWidth="1" min="8" max="8"/>
    <col width="4" customWidth="1" min="9" max="9"/>
    <col width="34" customWidth="1" min="10" max="10"/>
    <col width="11" customWidth="1" min="11" max="11"/>
    <col width="8" customWidth="1" min="12" max="12"/>
    <col width="8" customWidth="1" min="13" max="13"/>
    <col width="7" customWidth="1" min="14" max="14"/>
    <col width="10" customWidth="1" min="15" max="15"/>
  </cols>
  <sheetData>
    <row r="1">
      <c r="A1" s="1" t="inlineStr">
        <is>
          <t>$100M-1B - 2026Q2</t>
        </is>
      </c>
    </row>
    <row r="2">
      <c r="A2" t="inlineStr">
        <is>
          <t>5659 managers | net -47.5bn | turnover 15.1% | P/C 1.52</t>
        </is>
      </c>
    </row>
    <row r="4">
      <c r="A4" s="2" t="inlineStr">
        <is>
          <t>#</t>
        </is>
      </c>
      <c r="B4" s="2" t="inlineStr">
        <is>
          <t>Top buys</t>
        </is>
      </c>
      <c r="C4" s="2" t="inlineStr">
        <is>
          <t>Net $</t>
        </is>
      </c>
      <c r="D4" s="2" t="inlineStr">
        <is>
          <t>Buyers</t>
        </is>
      </c>
      <c r="E4" s="2" t="inlineStr">
        <is>
          <t>Sellers</t>
        </is>
      </c>
      <c r="F4" s="2" t="inlineStr">
        <is>
          <t>New</t>
        </is>
      </c>
      <c r="G4" s="2" t="inlineStr">
        <is>
          <t>Flow % of held</t>
        </is>
      </c>
      <c r="H4" s="2" t="inlineStr"/>
      <c r="I4" s="2" t="inlineStr">
        <is>
          <t>#</t>
        </is>
      </c>
      <c r="J4" s="2" t="inlineStr">
        <is>
          <t>Top sells</t>
        </is>
      </c>
      <c r="K4" s="2" t="inlineStr">
        <is>
          <t>Net $</t>
        </is>
      </c>
      <c r="L4" s="2" t="inlineStr">
        <is>
          <t>Buyers</t>
        </is>
      </c>
      <c r="M4" s="2" t="inlineStr">
        <is>
          <t>Sellers</t>
        </is>
      </c>
      <c r="N4" s="2" t="inlineStr">
        <is>
          <t>Exits</t>
        </is>
      </c>
      <c r="O4" s="2" t="inlineStr">
        <is>
          <t>Flow % of held</t>
        </is>
      </c>
    </row>
    <row r="5">
      <c r="A5" t="n">
        <v>1</v>
      </c>
      <c r="B5" t="inlineStr">
        <is>
          <t>Berkshire Hathaway Inc Del</t>
        </is>
      </c>
      <c r="C5" s="10" t="n">
        <v>3670862700</v>
      </c>
      <c r="D5" t="n">
        <v>31</v>
      </c>
      <c r="E5" t="n">
        <v>67</v>
      </c>
      <c r="F5" t="n">
        <v>20</v>
      </c>
      <c r="G5" s="4" t="n">
        <v>0.7750536346513208</v>
      </c>
      <c r="I5" t="n">
        <v>1</v>
      </c>
      <c r="J5" t="inlineStr">
        <is>
          <t>Apple Inc</t>
        </is>
      </c>
      <c r="K5" s="10" t="n">
        <v>-9669556437.719095</v>
      </c>
      <c r="L5" t="n">
        <v>1778</v>
      </c>
      <c r="M5" t="n">
        <v>2087</v>
      </c>
      <c r="N5" t="n">
        <v>38</v>
      </c>
      <c r="O5" s="4" t="n">
        <v>-0.2210132027248938</v>
      </c>
    </row>
    <row r="6">
      <c r="A6" t="n">
        <v>2</v>
      </c>
      <c r="B6" t="inlineStr">
        <is>
          <t>Space Exploration Techn Corp</t>
        </is>
      </c>
      <c r="C6" s="10" t="n">
        <v>2683808737.28</v>
      </c>
      <c r="D6" t="n">
        <v>769</v>
      </c>
      <c r="E6" t="n">
        <v>0</v>
      </c>
      <c r="F6" t="n">
        <v>769</v>
      </c>
      <c r="G6" s="4" t="n">
        <v>1.003789481941241</v>
      </c>
      <c r="I6" t="n">
        <v>2</v>
      </c>
      <c r="J6" t="inlineStr">
        <is>
          <t>Costco Wholesale Corporation</t>
        </is>
      </c>
      <c r="K6" s="10" t="n">
        <v>-6271362185.667027</v>
      </c>
      <c r="L6" t="n">
        <v>1075</v>
      </c>
      <c r="M6" t="n">
        <v>1117</v>
      </c>
      <c r="N6" t="n">
        <v>104</v>
      </c>
      <c r="O6" s="4" t="n">
        <v>-0.9165669960791142</v>
      </c>
    </row>
    <row r="7">
      <c r="A7" t="n">
        <v>3</v>
      </c>
      <c r="B7" t="inlineStr">
        <is>
          <t>Dpc Holdings Plc</t>
        </is>
      </c>
      <c r="C7" s="10" t="n">
        <v>1640651126.62</v>
      </c>
      <c r="D7" t="n">
        <v>23</v>
      </c>
      <c r="E7" t="n">
        <v>0</v>
      </c>
      <c r="F7" t="n">
        <v>23</v>
      </c>
      <c r="G7" s="4" t="n">
        <v>1.000000179575077</v>
      </c>
      <c r="I7" t="n">
        <v>3</v>
      </c>
      <c r="J7" t="inlineStr">
        <is>
          <t>Alphabet Inc</t>
        </is>
      </c>
      <c r="K7" s="10" t="n">
        <v>-5013189935.555877</v>
      </c>
      <c r="L7" t="n">
        <v>1685</v>
      </c>
      <c r="M7" t="n">
        <v>1703</v>
      </c>
      <c r="N7" t="n">
        <v>56</v>
      </c>
      <c r="O7" s="4" t="n">
        <v>-0.1943352540124844</v>
      </c>
    </row>
    <row r="8">
      <c r="A8" t="n">
        <v>4</v>
      </c>
      <c r="B8" t="inlineStr">
        <is>
          <t>Exxonmobil Holdings Corp Com Shs</t>
        </is>
      </c>
      <c r="C8" s="10" t="n">
        <v>1005330446.766778</v>
      </c>
      <c r="D8" t="n">
        <v>259</v>
      </c>
      <c r="E8" t="n">
        <v>2</v>
      </c>
      <c r="F8" t="n">
        <v>258</v>
      </c>
      <c r="G8" s="4" t="n">
        <v>0.9944413104396983</v>
      </c>
      <c r="I8" t="n">
        <v>4</v>
      </c>
      <c r="J8" t="inlineStr">
        <is>
          <t>Caterpillar Inc</t>
        </is>
      </c>
      <c r="K8" s="10" t="n">
        <v>-3403183995.041003</v>
      </c>
      <c r="L8" t="n">
        <v>1089</v>
      </c>
      <c r="M8" t="n">
        <v>984</v>
      </c>
      <c r="N8" t="n">
        <v>60</v>
      </c>
      <c r="O8" s="4" t="n">
        <v>-0.5609580103759175</v>
      </c>
    </row>
    <row r="9">
      <c r="A9" t="n">
        <v>5</v>
      </c>
      <c r="B9" t="inlineStr">
        <is>
          <t>Thomson Reuters Corp</t>
        </is>
      </c>
      <c r="C9" s="10" t="n">
        <v>980284814.8870033</v>
      </c>
      <c r="D9" t="n">
        <v>79</v>
      </c>
      <c r="E9" t="n">
        <v>2</v>
      </c>
      <c r="F9" t="n">
        <v>79</v>
      </c>
      <c r="G9" s="4" t="n">
        <v>0.9990986792631225</v>
      </c>
      <c r="I9" t="n">
        <v>5</v>
      </c>
      <c r="J9" t="inlineStr">
        <is>
          <t>Visa Inc</t>
        </is>
      </c>
      <c r="K9" s="10" t="n">
        <v>-2982685175.289564</v>
      </c>
      <c r="L9" t="n">
        <v>1334</v>
      </c>
      <c r="M9" t="n">
        <v>1103</v>
      </c>
      <c r="N9" t="n">
        <v>85</v>
      </c>
      <c r="O9" s="4" t="n">
        <v>-0.3353082423275685</v>
      </c>
    </row>
    <row r="10">
      <c r="A10" t="n">
        <v>6</v>
      </c>
      <c r="B10" t="inlineStr">
        <is>
          <t>Honeywell Aerospace Inc</t>
        </is>
      </c>
      <c r="C10" s="10" t="n">
        <v>921245444.2553052</v>
      </c>
      <c r="D10" t="n">
        <v>938</v>
      </c>
      <c r="E10" t="n">
        <v>0</v>
      </c>
      <c r="F10" t="n">
        <v>938</v>
      </c>
      <c r="G10" s="4" t="n">
        <v>1.024838268018951</v>
      </c>
      <c r="I10" t="n">
        <v>6</v>
      </c>
      <c r="J10" t="inlineStr">
        <is>
          <t>Microsoft Corp</t>
        </is>
      </c>
      <c r="K10" s="10" t="n">
        <v>-2638599497.878369</v>
      </c>
      <c r="L10" t="n">
        <v>2228</v>
      </c>
      <c r="M10" t="n">
        <v>1672</v>
      </c>
      <c r="N10" t="n">
        <v>76</v>
      </c>
      <c r="O10" s="4" t="n">
        <v>-0.09367978662099866</v>
      </c>
    </row>
    <row r="11">
      <c r="A11" t="n">
        <v>7</v>
      </c>
      <c r="B11" t="inlineStr">
        <is>
          <t>Honeywell Intl Inc</t>
        </is>
      </c>
      <c r="C11" s="10" t="n">
        <v>802613098.5500001</v>
      </c>
      <c r="D11" t="n">
        <v>911</v>
      </c>
      <c r="E11" t="n">
        <v>3</v>
      </c>
      <c r="F11" t="n">
        <v>910</v>
      </c>
      <c r="G11" s="4" t="n">
        <v>1.004271793616981</v>
      </c>
      <c r="I11" t="n">
        <v>7</v>
      </c>
      <c r="J11" t="inlineStr">
        <is>
          <t>Trip Com Group Ltd</t>
        </is>
      </c>
      <c r="K11" s="10" t="n">
        <v>-2296984549.5</v>
      </c>
      <c r="L11" t="n">
        <v>0</v>
      </c>
      <c r="M11" t="n">
        <v>1</v>
      </c>
      <c r="N11" t="n">
        <v>1</v>
      </c>
      <c r="O11" s="4" t="n"/>
    </row>
    <row r="12">
      <c r="A12" t="n">
        <v>8</v>
      </c>
      <c r="B12" t="inlineStr">
        <is>
          <t>Cerebras Systems Inc</t>
        </is>
      </c>
      <c r="C12" s="10" t="n">
        <v>701194988</v>
      </c>
      <c r="D12" t="n">
        <v>105</v>
      </c>
      <c r="E12" t="n">
        <v>0</v>
      </c>
      <c r="F12" t="n">
        <v>105</v>
      </c>
      <c r="G12" s="4" t="n">
        <v>1.145823433030277</v>
      </c>
      <c r="I12" t="n">
        <v>8</v>
      </c>
      <c r="J12" t="inlineStr">
        <is>
          <t>Exxon Mobil Corp</t>
        </is>
      </c>
      <c r="K12" s="10" t="n">
        <v>-1928690582.8</v>
      </c>
      <c r="L12" t="n">
        <v>1011</v>
      </c>
      <c r="M12" t="n">
        <v>1792</v>
      </c>
      <c r="N12" t="n">
        <v>710</v>
      </c>
      <c r="O12" s="4" t="n">
        <v>-0.3541169743977753</v>
      </c>
    </row>
    <row r="13">
      <c r="A13" t="n">
        <v>9</v>
      </c>
      <c r="B13" t="inlineStr">
        <is>
          <t>Invesco Exch Traded Fd Tr Ii</t>
        </is>
      </c>
      <c r="C13" s="10" t="n">
        <v>689229218.7196141</v>
      </c>
      <c r="D13" t="n">
        <v>460</v>
      </c>
      <c r="E13" t="n">
        <v>207</v>
      </c>
      <c r="F13" t="n">
        <v>120</v>
      </c>
      <c r="G13" s="4" t="n">
        <v>0.1555820126484823</v>
      </c>
      <c r="I13" t="n">
        <v>9</v>
      </c>
      <c r="J13" t="inlineStr">
        <is>
          <t>Mister Car Wash Inc</t>
        </is>
      </c>
      <c r="K13" s="10" t="n">
        <v>-1587825491.501023</v>
      </c>
      <c r="L13" t="n">
        <v>0</v>
      </c>
      <c r="M13" t="n">
        <v>37</v>
      </c>
      <c r="N13" t="n">
        <v>37</v>
      </c>
      <c r="O13" s="4" t="n"/>
    </row>
    <row r="14">
      <c r="A14" t="n">
        <v>10</v>
      </c>
      <c r="B14" t="inlineStr">
        <is>
          <t>Viper Energy Inc</t>
        </is>
      </c>
      <c r="C14" s="10" t="n">
        <v>660414216.8</v>
      </c>
      <c r="D14" t="n">
        <v>63</v>
      </c>
      <c r="E14" t="n">
        <v>48</v>
      </c>
      <c r="F14" t="n">
        <v>29</v>
      </c>
      <c r="G14" s="4" t="n">
        <v>0.8377102053350696</v>
      </c>
      <c r="I14" t="n">
        <v>10</v>
      </c>
      <c r="J14" t="inlineStr">
        <is>
          <t>Broadcom Inc</t>
        </is>
      </c>
      <c r="K14" s="10" t="n">
        <v>-1503372102.900175</v>
      </c>
      <c r="L14" t="n">
        <v>1580</v>
      </c>
      <c r="M14" t="n">
        <v>1210</v>
      </c>
      <c r="N14" t="n">
        <v>68</v>
      </c>
      <c r="O14" s="4" t="n">
        <v>-0.1190593117070414</v>
      </c>
    </row>
    <row r="15">
      <c r="A15" t="n">
        <v>11</v>
      </c>
      <c r="B15" t="inlineStr">
        <is>
          <t>Seagate Technology Hldngs Pl</t>
        </is>
      </c>
      <c r="C15" s="10" t="n">
        <v>546621355</v>
      </c>
      <c r="D15" t="n">
        <v>496</v>
      </c>
      <c r="E15" t="n">
        <v>278</v>
      </c>
      <c r="F15" t="n">
        <v>347</v>
      </c>
      <c r="G15" s="4" t="n">
        <v>0.2527882884440963</v>
      </c>
      <c r="I15" t="n">
        <v>11</v>
      </c>
      <c r="J15" t="inlineStr">
        <is>
          <t>Alignment Healthcare Inc</t>
        </is>
      </c>
      <c r="K15" s="10" t="n">
        <v>-1284907380.375</v>
      </c>
      <c r="L15" t="n">
        <v>0</v>
      </c>
      <c r="M15" t="n">
        <v>1</v>
      </c>
      <c r="N15" t="n">
        <v>1</v>
      </c>
      <c r="O15" s="4" t="n"/>
    </row>
    <row r="16">
      <c r="A16" t="n">
        <v>12</v>
      </c>
      <c r="B16" t="inlineStr">
        <is>
          <t>Applied Digital Corp</t>
        </is>
      </c>
      <c r="C16" s="10" t="n">
        <v>463690138.3</v>
      </c>
      <c r="D16" t="n">
        <v>83</v>
      </c>
      <c r="E16" t="n">
        <v>66</v>
      </c>
      <c r="F16" t="n">
        <v>55</v>
      </c>
      <c r="G16" s="4" t="n">
        <v>0.5585590968424087</v>
      </c>
      <c r="I16" t="n">
        <v>12</v>
      </c>
      <c r="J16" t="inlineStr">
        <is>
          <t>Johnson &amp; Johnson</t>
        </is>
      </c>
      <c r="K16" s="10" t="n">
        <v>-1140105885.646523</v>
      </c>
      <c r="L16" t="n">
        <v>1375</v>
      </c>
      <c r="M16" t="n">
        <v>1241</v>
      </c>
      <c r="N16" t="n">
        <v>70</v>
      </c>
      <c r="O16" s="4" t="n">
        <v>-0.1395170607336121</v>
      </c>
    </row>
    <row r="17">
      <c r="A17" t="n">
        <v>13</v>
      </c>
      <c r="B17" t="inlineStr">
        <is>
          <t>Warner Bros Discovery Inc</t>
        </is>
      </c>
      <c r="C17" s="10" t="n">
        <v>402612442.829983</v>
      </c>
      <c r="D17" t="n">
        <v>174</v>
      </c>
      <c r="E17" t="n">
        <v>184</v>
      </c>
      <c r="F17" t="n">
        <v>50</v>
      </c>
      <c r="G17" s="4" t="n">
        <v>0.3146555611415522</v>
      </c>
      <c r="I17" t="n">
        <v>13</v>
      </c>
      <c r="J17" t="inlineStr">
        <is>
          <t>Sandisk Corp</t>
        </is>
      </c>
      <c r="K17" s="10" t="n">
        <v>-1124454981.66</v>
      </c>
      <c r="L17" t="n">
        <v>552</v>
      </c>
      <c r="M17" t="n">
        <v>212</v>
      </c>
      <c r="N17" t="n">
        <v>55</v>
      </c>
      <c r="O17" s="4" t="n">
        <v>-0.375958943670457</v>
      </c>
    </row>
    <row r="18">
      <c r="A18" t="n">
        <v>14</v>
      </c>
      <c r="B18" t="inlineStr">
        <is>
          <t>X-Energy Inc</t>
        </is>
      </c>
      <c r="C18" s="10" t="n">
        <v>383994718.2</v>
      </c>
      <c r="D18" t="n">
        <v>36</v>
      </c>
      <c r="E18" t="n">
        <v>0</v>
      </c>
      <c r="F18" t="n">
        <v>36</v>
      </c>
      <c r="G18" s="4" t="n">
        <v>1.000003234950794</v>
      </c>
      <c r="I18" t="n">
        <v>14</v>
      </c>
      <c r="J18" t="inlineStr">
        <is>
          <t>Taiwan Semiconductor Manufac</t>
        </is>
      </c>
      <c r="K18" s="10" t="n">
        <v>-1071716747.28</v>
      </c>
      <c r="L18" t="n">
        <v>1036</v>
      </c>
      <c r="M18" t="n">
        <v>723</v>
      </c>
      <c r="N18" t="n">
        <v>64</v>
      </c>
      <c r="O18" s="4" t="n">
        <v>-0.1018512396723527</v>
      </c>
    </row>
    <row r="19">
      <c r="A19" t="n">
        <v>15</v>
      </c>
      <c r="B19" t="inlineStr">
        <is>
          <t>Alphabet Inc</t>
        </is>
      </c>
      <c r="C19" s="10" t="n">
        <v>352862346.8</v>
      </c>
      <c r="D19" t="n">
        <v>16</v>
      </c>
      <c r="E19" t="n">
        <v>0</v>
      </c>
      <c r="F19" t="n">
        <v>16</v>
      </c>
      <c r="G19" s="4" t="n">
        <v>1.003721175792001</v>
      </c>
      <c r="I19" t="n">
        <v>15</v>
      </c>
      <c r="J19" t="inlineStr">
        <is>
          <t>Masimo Corp</t>
        </is>
      </c>
      <c r="K19" s="10" t="n">
        <v>-1069392558.636364</v>
      </c>
      <c r="L19" t="n">
        <v>0</v>
      </c>
      <c r="M19" t="n">
        <v>90</v>
      </c>
      <c r="N19" t="n">
        <v>90</v>
      </c>
      <c r="O19" s="4" t="n"/>
    </row>
    <row r="20">
      <c r="A20" t="n">
        <v>16</v>
      </c>
      <c r="B20" t="inlineStr">
        <is>
          <t>Parabilis Medicines Inc</t>
        </is>
      </c>
      <c r="C20" s="10" t="n">
        <v>352312031.89</v>
      </c>
      <c r="D20" t="n">
        <v>12</v>
      </c>
      <c r="E20" t="n">
        <v>0</v>
      </c>
      <c r="F20" t="n">
        <v>12</v>
      </c>
      <c r="G20" s="4" t="n">
        <v>1.000002520187099</v>
      </c>
      <c r="I20" t="n">
        <v>16</v>
      </c>
      <c r="J20" t="inlineStr">
        <is>
          <t>Honeywell Intl Inc</t>
        </is>
      </c>
      <c r="K20" s="10" t="n">
        <v>-1067590371.54921</v>
      </c>
      <c r="L20" t="n">
        <v>48</v>
      </c>
      <c r="M20" t="n">
        <v>1373</v>
      </c>
      <c r="N20" t="n">
        <v>1350</v>
      </c>
      <c r="O20" s="4" t="n">
        <v>-11.31355322436006</v>
      </c>
    </row>
    <row r="21">
      <c r="A21" t="n">
        <v>17</v>
      </c>
      <c r="B21" t="inlineStr">
        <is>
          <t>Alphabet Inc</t>
        </is>
      </c>
      <c r="C21" s="10" t="n">
        <v>342979056.9807421</v>
      </c>
      <c r="D21" t="n">
        <v>19</v>
      </c>
      <c r="E21" t="n">
        <v>0</v>
      </c>
      <c r="F21" t="n">
        <v>19</v>
      </c>
      <c r="G21" s="4" t="n">
        <v>1.005041042743827</v>
      </c>
      <c r="I21" t="n">
        <v>17</v>
      </c>
      <c r="J21" t="inlineStr">
        <is>
          <t>Applied Matls Inc</t>
        </is>
      </c>
      <c r="K21" s="10" t="n">
        <v>-1012137822</v>
      </c>
      <c r="L21" t="n">
        <v>986</v>
      </c>
      <c r="M21" t="n">
        <v>726</v>
      </c>
      <c r="N21" t="n">
        <v>67</v>
      </c>
      <c r="O21" s="4" t="n">
        <v>-0.1725468403757969</v>
      </c>
    </row>
    <row r="22">
      <c r="A22" t="n">
        <v>18</v>
      </c>
      <c r="B22" t="inlineStr">
        <is>
          <t>Ascendis Pharma A/S</t>
        </is>
      </c>
      <c r="C22" s="10" t="n">
        <v>315949310.5600001</v>
      </c>
      <c r="D22" t="n">
        <v>53</v>
      </c>
      <c r="E22" t="n">
        <v>0</v>
      </c>
      <c r="F22" t="n">
        <v>53</v>
      </c>
      <c r="G22" s="4" t="n">
        <v>0.9221558642596567</v>
      </c>
      <c r="I22" t="n">
        <v>18</v>
      </c>
      <c r="J22" t="inlineStr">
        <is>
          <t>Thomson Reuters Corp</t>
        </is>
      </c>
      <c r="K22" s="10" t="n">
        <v>-1008343058.371266</v>
      </c>
      <c r="L22" t="n">
        <v>3</v>
      </c>
      <c r="M22" t="n">
        <v>95</v>
      </c>
      <c r="N22" t="n">
        <v>94</v>
      </c>
      <c r="O22" s="4" t="n">
        <v>-1278.492321349346</v>
      </c>
    </row>
    <row r="23">
      <c r="A23" t="n">
        <v>19</v>
      </c>
      <c r="B23" t="inlineStr">
        <is>
          <t>Xanadu Quantum Technolo Ltd</t>
        </is>
      </c>
      <c r="C23" s="10" t="n">
        <v>302961949.0443242</v>
      </c>
      <c r="D23" t="n">
        <v>10</v>
      </c>
      <c r="E23" t="n">
        <v>3</v>
      </c>
      <c r="F23" t="n">
        <v>9</v>
      </c>
      <c r="G23" s="4" t="n">
        <v>0.9958461722222444</v>
      </c>
      <c r="I23" t="n">
        <v>19</v>
      </c>
      <c r="J23" t="inlineStr">
        <is>
          <t>Lincoln Elec Hldgs Inc</t>
        </is>
      </c>
      <c r="K23" s="10" t="n">
        <v>-1007020222.650497</v>
      </c>
      <c r="L23" t="n">
        <v>72</v>
      </c>
      <c r="M23" t="n">
        <v>65</v>
      </c>
      <c r="N23" t="n">
        <v>20</v>
      </c>
      <c r="O23" s="4" t="n">
        <v>-2.680823569334148</v>
      </c>
    </row>
    <row r="24">
      <c r="A24" t="n">
        <v>20</v>
      </c>
      <c r="B24" t="inlineStr">
        <is>
          <t>Azul S A</t>
        </is>
      </c>
      <c r="C24" s="10" t="n">
        <v>295798958.9</v>
      </c>
      <c r="D24" t="n">
        <v>19</v>
      </c>
      <c r="E24" t="n">
        <v>0</v>
      </c>
      <c r="F24" t="n">
        <v>19</v>
      </c>
      <c r="G24" s="4" t="n">
        <v>0.9987327660635058</v>
      </c>
      <c r="I24" t="n">
        <v>20</v>
      </c>
      <c r="J24" t="inlineStr">
        <is>
          <t>Eli Lilly &amp; Co</t>
        </is>
      </c>
      <c r="K24" s="10" t="n">
        <v>-950621448.2790283</v>
      </c>
      <c r="L24" t="n">
        <v>1549</v>
      </c>
      <c r="M24" t="n">
        <v>947</v>
      </c>
      <c r="N24" t="n">
        <v>65</v>
      </c>
      <c r="O24" s="4" t="n">
        <v>-0.1001506830037431</v>
      </c>
    </row>
    <row r="26">
      <c r="A26" s="6" t="inlineStr">
        <is>
          <t>Breadth: most managers adding (net count)</t>
        </is>
      </c>
      <c r="I26" s="6" t="inlineStr">
        <is>
          <t>Breadth: most managers cutting (net count)</t>
        </is>
      </c>
    </row>
    <row r="27">
      <c r="A27" s="2" t="inlineStr">
        <is>
          <t>#</t>
        </is>
      </c>
      <c r="B27" s="2" t="inlineStr">
        <is>
          <t>Issuer</t>
        </is>
      </c>
      <c r="C27" s="2" t="inlineStr">
        <is>
          <t>Net mgrs</t>
        </is>
      </c>
      <c r="D27" s="2" t="inlineStr">
        <is>
          <t>Buyers</t>
        </is>
      </c>
      <c r="E27" s="2" t="inlineStr">
        <is>
          <t>Sellers</t>
        </is>
      </c>
      <c r="F27" s="2" t="inlineStr">
        <is>
          <t>Net $</t>
        </is>
      </c>
      <c r="G27" s="2" t="inlineStr"/>
      <c r="H27" s="2" t="inlineStr"/>
      <c r="I27" s="2" t="inlineStr">
        <is>
          <t>#</t>
        </is>
      </c>
      <c r="J27" s="2" t="inlineStr">
        <is>
          <t>Issuer</t>
        </is>
      </c>
      <c r="K27" s="2" t="inlineStr">
        <is>
          <t>Net mgrs</t>
        </is>
      </c>
      <c r="L27" s="2" t="inlineStr">
        <is>
          <t>Buyers</t>
        </is>
      </c>
      <c r="M27" s="2" t="inlineStr">
        <is>
          <t>Sellers</t>
        </is>
      </c>
      <c r="N27" s="2" t="inlineStr">
        <is>
          <t>Net $</t>
        </is>
      </c>
    </row>
    <row r="28">
      <c r="A28" t="n">
        <v>1</v>
      </c>
      <c r="B28" t="inlineStr">
        <is>
          <t>Honeywell Aerospace Inc</t>
        </is>
      </c>
      <c r="C28" t="n">
        <v>938</v>
      </c>
      <c r="D28" t="n">
        <v>938</v>
      </c>
      <c r="E28" t="n">
        <v>0</v>
      </c>
      <c r="F28" s="10" t="n">
        <v>921245444.2553052</v>
      </c>
      <c r="I28" t="n">
        <v>1</v>
      </c>
      <c r="J28" t="inlineStr">
        <is>
          <t>Honeywell Intl Inc</t>
        </is>
      </c>
      <c r="K28" t="n">
        <v>-1325</v>
      </c>
      <c r="L28" t="n">
        <v>48</v>
      </c>
      <c r="M28" t="n">
        <v>1373</v>
      </c>
      <c r="N28" s="10" t="n">
        <v>-1067590371.54921</v>
      </c>
    </row>
    <row r="29">
      <c r="A29" t="n">
        <v>2</v>
      </c>
      <c r="B29" t="inlineStr">
        <is>
          <t>Honeywell Intl Inc</t>
        </is>
      </c>
      <c r="C29" t="n">
        <v>908</v>
      </c>
      <c r="D29" t="n">
        <v>911</v>
      </c>
      <c r="E29" t="n">
        <v>3</v>
      </c>
      <c r="F29" s="10" t="n">
        <v>802613098.5500001</v>
      </c>
      <c r="I29" t="n">
        <v>2</v>
      </c>
      <c r="J29" t="inlineStr">
        <is>
          <t>Exxon Mobil Corp</t>
        </is>
      </c>
      <c r="K29" t="n">
        <v>-781</v>
      </c>
      <c r="L29" t="n">
        <v>1011</v>
      </c>
      <c r="M29" t="n">
        <v>1792</v>
      </c>
      <c r="N29" s="10" t="n">
        <v>-1928690582.8</v>
      </c>
    </row>
    <row r="30">
      <c r="A30" t="n">
        <v>3</v>
      </c>
      <c r="B30" t="inlineStr">
        <is>
          <t>Space Exploration Techn Corp</t>
        </is>
      </c>
      <c r="C30" t="n">
        <v>769</v>
      </c>
      <c r="D30" t="n">
        <v>769</v>
      </c>
      <c r="E30" t="n">
        <v>0</v>
      </c>
      <c r="F30" s="10" t="n">
        <v>2683808737.28</v>
      </c>
      <c r="I30" t="n">
        <v>3</v>
      </c>
      <c r="J30" t="inlineStr">
        <is>
          <t>Dupont De Nemours Inc</t>
        </is>
      </c>
      <c r="K30" t="n">
        <v>-395</v>
      </c>
      <c r="L30" t="n">
        <v>11</v>
      </c>
      <c r="M30" t="n">
        <v>406</v>
      </c>
      <c r="N30" s="10" t="n">
        <v>-156709659.7041396</v>
      </c>
    </row>
    <row r="31">
      <c r="A31" t="n">
        <v>4</v>
      </c>
      <c r="B31" t="inlineStr">
        <is>
          <t>Eli Lilly &amp; Co</t>
        </is>
      </c>
      <c r="C31" t="n">
        <v>602</v>
      </c>
      <c r="D31" t="n">
        <v>1549</v>
      </c>
      <c r="E31" t="n">
        <v>947</v>
      </c>
      <c r="F31" s="10" t="n">
        <v>-950621448.2790283</v>
      </c>
      <c r="I31" t="n">
        <v>4</v>
      </c>
      <c r="J31" t="inlineStr">
        <is>
          <t>Apple Inc</t>
        </is>
      </c>
      <c r="K31" t="n">
        <v>-309</v>
      </c>
      <c r="L31" t="n">
        <v>1778</v>
      </c>
      <c r="M31" t="n">
        <v>2087</v>
      </c>
      <c r="N31" s="10" t="n">
        <v>-9669556437.719095</v>
      </c>
    </row>
    <row r="32">
      <c r="A32" t="n">
        <v>5</v>
      </c>
      <c r="B32" t="inlineStr">
        <is>
          <t>Microsoft Corp</t>
        </is>
      </c>
      <c r="C32" t="n">
        <v>556</v>
      </c>
      <c r="D32" t="n">
        <v>2228</v>
      </c>
      <c r="E32" t="n">
        <v>1672</v>
      </c>
      <c r="F32" s="10" t="n">
        <v>-2638599497.878369</v>
      </c>
      <c r="I32" t="n">
        <v>5</v>
      </c>
      <c r="J32" t="inlineStr">
        <is>
          <t>Carnival Corp</t>
        </is>
      </c>
      <c r="K32" t="n">
        <v>-304</v>
      </c>
      <c r="L32" t="n">
        <v>10</v>
      </c>
      <c r="M32" t="n">
        <v>314</v>
      </c>
      <c r="N32" s="10" t="n">
        <v>-276333039.7667723</v>
      </c>
    </row>
    <row r="33">
      <c r="A33" t="n">
        <v>6</v>
      </c>
      <c r="B33" t="inlineStr">
        <is>
          <t>Intel Corp</t>
        </is>
      </c>
      <c r="C33" t="n">
        <v>550</v>
      </c>
      <c r="D33" t="n">
        <v>1206</v>
      </c>
      <c r="E33" t="n">
        <v>656</v>
      </c>
      <c r="F33" s="10" t="n">
        <v>-336945760.79</v>
      </c>
      <c r="I33" t="n">
        <v>6</v>
      </c>
      <c r="J33" t="inlineStr">
        <is>
          <t>Coterra Energy Inc</t>
        </is>
      </c>
      <c r="K33" t="n">
        <v>-284</v>
      </c>
      <c r="L33" t="n">
        <v>1</v>
      </c>
      <c r="M33" t="n">
        <v>285</v>
      </c>
      <c r="N33" s="10" t="n">
        <v>-495273405</v>
      </c>
    </row>
    <row r="34">
      <c r="A34" t="n">
        <v>7</v>
      </c>
      <c r="B34" t="inlineStr">
        <is>
          <t>Nvidia Corporation</t>
        </is>
      </c>
      <c r="C34" t="n">
        <v>547</v>
      </c>
      <c r="D34" t="n">
        <v>2118</v>
      </c>
      <c r="E34" t="n">
        <v>1571</v>
      </c>
      <c r="F34" s="10" t="n">
        <v>108908586.9363861</v>
      </c>
      <c r="I34" t="n">
        <v>7</v>
      </c>
      <c r="J34" t="inlineStr">
        <is>
          <t>Salesforce Inc</t>
        </is>
      </c>
      <c r="K34" t="n">
        <v>-279</v>
      </c>
      <c r="L34" t="n">
        <v>482</v>
      </c>
      <c r="M34" t="n">
        <v>761</v>
      </c>
      <c r="N34" s="10" t="n">
        <v>1065131.445166282</v>
      </c>
    </row>
    <row r="35">
      <c r="A35" t="n">
        <v>8</v>
      </c>
      <c r="B35" t="inlineStr">
        <is>
          <t>Micron Technology Inc</t>
        </is>
      </c>
      <c r="C35" t="n">
        <v>502</v>
      </c>
      <c r="D35" t="n">
        <v>1354</v>
      </c>
      <c r="E35" t="n">
        <v>852</v>
      </c>
      <c r="F35" s="10" t="n">
        <v>-287033831.5323103</v>
      </c>
      <c r="I35" t="n">
        <v>8</v>
      </c>
      <c r="J35" t="inlineStr">
        <is>
          <t>Disney Walt Co</t>
        </is>
      </c>
      <c r="K35" t="n">
        <v>-238</v>
      </c>
      <c r="L35" t="n">
        <v>547</v>
      </c>
      <c r="M35" t="n">
        <v>785</v>
      </c>
      <c r="N35" s="10" t="n">
        <v>-110517913.2307719</v>
      </c>
    </row>
    <row r="36">
      <c r="A36" t="n">
        <v>9</v>
      </c>
      <c r="B36" t="inlineStr">
        <is>
          <t>Tesla Inc</t>
        </is>
      </c>
      <c r="C36" t="n">
        <v>497</v>
      </c>
      <c r="D36" t="n">
        <v>1388</v>
      </c>
      <c r="E36" t="n">
        <v>891</v>
      </c>
      <c r="F36" s="10" t="n">
        <v>269234472</v>
      </c>
      <c r="I36" t="n">
        <v>9</v>
      </c>
      <c r="J36" t="inlineStr">
        <is>
          <t>At&amp;T Inc</t>
        </is>
      </c>
      <c r="K36" t="n">
        <v>-223</v>
      </c>
      <c r="L36" t="n">
        <v>624</v>
      </c>
      <c r="M36" t="n">
        <v>847</v>
      </c>
      <c r="N36" s="10" t="n">
        <v>51812970.72994199</v>
      </c>
    </row>
    <row r="37">
      <c r="A37" t="n">
        <v>10</v>
      </c>
      <c r="B37" t="inlineStr">
        <is>
          <t>Ge Vernova Inc</t>
        </is>
      </c>
      <c r="C37" t="n">
        <v>456</v>
      </c>
      <c r="D37" t="n">
        <v>1037</v>
      </c>
      <c r="E37" t="n">
        <v>581</v>
      </c>
      <c r="F37" s="10" t="n">
        <v>22999061.37666176</v>
      </c>
      <c r="I37" t="n">
        <v>10</v>
      </c>
      <c r="J37" t="inlineStr">
        <is>
          <t>Pepsico Inc</t>
        </is>
      </c>
      <c r="K37" t="n">
        <v>-221</v>
      </c>
      <c r="L37" t="n">
        <v>766</v>
      </c>
      <c r="M37" t="n">
        <v>987</v>
      </c>
      <c r="N37" s="10" t="n">
        <v>-518139106.6</v>
      </c>
    </row>
    <row r="39">
      <c r="A39" s="6" t="inlineStr">
        <is>
          <t>ETF flows (net buys)</t>
        </is>
      </c>
      <c r="I39" s="6" t="inlineStr">
        <is>
          <t>ETF flows (net sells)</t>
        </is>
      </c>
    </row>
    <row r="40">
      <c r="B40" t="inlineStr">
        <is>
          <t>Vanguard Index Fds</t>
        </is>
      </c>
      <c r="C40" s="10" t="n">
        <v>8406055851.974799</v>
      </c>
      <c r="J40" t="inlineStr">
        <is>
          <t>State Str Spdr S&amp;P 500 Etf T</t>
        </is>
      </c>
      <c r="K40" s="10" t="n">
        <v>-4834615198.21904</v>
      </c>
    </row>
    <row r="41">
      <c r="B41" t="inlineStr">
        <is>
          <t>Ishares Tr</t>
        </is>
      </c>
      <c r="C41" s="10" t="n">
        <v>3185417115.429772</v>
      </c>
      <c r="J41" t="inlineStr">
        <is>
          <t>Vaneck Etf Trust</t>
        </is>
      </c>
      <c r="K41" s="10" t="n">
        <v>-1698603594.755427</v>
      </c>
    </row>
    <row r="42">
      <c r="B42" t="inlineStr">
        <is>
          <t>Vanguard Index Fds</t>
        </is>
      </c>
      <c r="C42" s="10" t="n">
        <v>1624926537.497565</v>
      </c>
      <c r="J42" t="inlineStr">
        <is>
          <t>Schwab Strategic Tr</t>
        </is>
      </c>
      <c r="K42" s="10" t="n">
        <v>-723434094.5719776</v>
      </c>
    </row>
    <row r="43">
      <c r="B43" t="inlineStr">
        <is>
          <t>Spdr Series Trust</t>
        </is>
      </c>
      <c r="C43" s="10" t="n">
        <v>818906534.5055231</v>
      </c>
      <c r="J43" t="inlineStr">
        <is>
          <t>Invesco Exchange Traded Fd T</t>
        </is>
      </c>
      <c r="K43" s="10" t="n">
        <v>-696795628.2189865</v>
      </c>
    </row>
    <row r="44">
      <c r="B44" t="inlineStr">
        <is>
          <t>Vanguard Index Fds</t>
        </is>
      </c>
      <c r="C44" s="10" t="n">
        <v>646371084.4282149</v>
      </c>
      <c r="J44" t="inlineStr">
        <is>
          <t>Ishares Tr</t>
        </is>
      </c>
      <c r="K44" s="10" t="n">
        <v>-649490214.1926572</v>
      </c>
    </row>
    <row r="45">
      <c r="B45" t="inlineStr">
        <is>
          <t>Invesco Qqq Tr</t>
        </is>
      </c>
      <c r="C45" s="10" t="n">
        <v>565693643.1999999</v>
      </c>
      <c r="J45" t="inlineStr">
        <is>
          <t>Ishares Tr</t>
        </is>
      </c>
      <c r="K45" s="10" t="n">
        <v>-631232533.4</v>
      </c>
    </row>
    <row r="46">
      <c r="B46" t="inlineStr">
        <is>
          <t>Vanguard Admiral Fds Inc</t>
        </is>
      </c>
      <c r="C46" s="10" t="n">
        <v>526343557.966803</v>
      </c>
      <c r="J46" t="inlineStr">
        <is>
          <t>Principal Exchange Traded Fd</t>
        </is>
      </c>
      <c r="K46" s="10" t="n">
        <v>-512718193.2543027</v>
      </c>
    </row>
    <row r="47">
      <c r="B47" t="inlineStr">
        <is>
          <t>Blackrock Etf Trust</t>
        </is>
      </c>
      <c r="C47" s="10" t="n">
        <v>515199026.8429547</v>
      </c>
      <c r="J47" t="inlineStr">
        <is>
          <t>Ishares Tr</t>
        </is>
      </c>
      <c r="K47" s="10" t="n">
        <v>-399023165.871776</v>
      </c>
    </row>
    <row r="48">
      <c r="B48" t="inlineStr">
        <is>
          <t>Vanguard Index Fds</t>
        </is>
      </c>
      <c r="C48" s="10" t="n">
        <v>413039256.6030276</v>
      </c>
      <c r="J48" t="inlineStr">
        <is>
          <t>Schwab Strategic Tr</t>
        </is>
      </c>
      <c r="K48" s="10" t="n">
        <v>-380086659.2742714</v>
      </c>
    </row>
    <row r="49">
      <c r="B49" t="inlineStr">
        <is>
          <t>Pimco Etf Tr</t>
        </is>
      </c>
      <c r="C49" s="10" t="n">
        <v>391297826.4</v>
      </c>
      <c r="J49" t="inlineStr">
        <is>
          <t>Spdr Series Trust</t>
        </is>
      </c>
      <c r="K49" s="10" t="n">
        <v>-371307960.04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8" customWidth="1" min="4" max="4"/>
    <col width="8" customWidth="1" min="5" max="5"/>
    <col width="7" customWidth="1" min="6" max="6"/>
    <col width="10" customWidth="1" min="7" max="7"/>
    <col width="3" customWidth="1" min="8" max="8"/>
    <col width="4" customWidth="1" min="9" max="9"/>
    <col width="34" customWidth="1" min="10" max="10"/>
    <col width="11" customWidth="1" min="11" max="11"/>
    <col width="8" customWidth="1" min="12" max="12"/>
    <col width="8" customWidth="1" min="13" max="13"/>
    <col width="7" customWidth="1" min="14" max="14"/>
    <col width="10" customWidth="1" min="15" max="15"/>
  </cols>
  <sheetData>
    <row r="1">
      <c r="A1" s="1" t="inlineStr">
        <is>
          <t>All 13F filers ($100M+) - 2026Q2</t>
        </is>
      </c>
    </row>
    <row r="2">
      <c r="A2" t="inlineStr">
        <is>
          <t>8131 managers | net 4,992.6bn | turnover 8.1% | P/C 1.20</t>
        </is>
      </c>
    </row>
    <row r="4">
      <c r="A4" s="2" t="inlineStr">
        <is>
          <t>#</t>
        </is>
      </c>
      <c r="B4" s="2" t="inlineStr">
        <is>
          <t>Top buys</t>
        </is>
      </c>
      <c r="C4" s="2" t="inlineStr">
        <is>
          <t>Net $</t>
        </is>
      </c>
      <c r="D4" s="2" t="inlineStr">
        <is>
          <t>Buyers</t>
        </is>
      </c>
      <c r="E4" s="2" t="inlineStr">
        <is>
          <t>Sellers</t>
        </is>
      </c>
      <c r="F4" s="2" t="inlineStr">
        <is>
          <t>New</t>
        </is>
      </c>
      <c r="G4" s="2" t="inlineStr">
        <is>
          <t>Flow % of held</t>
        </is>
      </c>
      <c r="H4" s="2" t="inlineStr"/>
      <c r="I4" s="2" t="inlineStr">
        <is>
          <t>#</t>
        </is>
      </c>
      <c r="J4" s="2" t="inlineStr">
        <is>
          <t>Top sells</t>
        </is>
      </c>
      <c r="K4" s="2" t="inlineStr">
        <is>
          <t>Net $</t>
        </is>
      </c>
      <c r="L4" s="2" t="inlineStr">
        <is>
          <t>Buyers</t>
        </is>
      </c>
      <c r="M4" s="2" t="inlineStr">
        <is>
          <t>Sellers</t>
        </is>
      </c>
      <c r="N4" s="2" t="inlineStr">
        <is>
          <t>Exits</t>
        </is>
      </c>
      <c r="O4" s="2" t="inlineStr">
        <is>
          <t>Flow % of held</t>
        </is>
      </c>
    </row>
    <row r="5">
      <c r="A5" t="n">
        <v>1</v>
      </c>
      <c r="B5" t="inlineStr">
        <is>
          <t>Space Exploration Techn Corp</t>
        </is>
      </c>
      <c r="C5" s="10" t="n">
        <v>570962775886.5601</v>
      </c>
      <c r="D5" t="n">
        <v>1671</v>
      </c>
      <c r="E5" t="n">
        <v>0</v>
      </c>
      <c r="F5" t="n">
        <v>1671</v>
      </c>
      <c r="G5" s="4" t="n">
        <v>1.00015218517897</v>
      </c>
      <c r="I5" t="n">
        <v>1</v>
      </c>
      <c r="J5" t="inlineStr">
        <is>
          <t>Palantir Technologies Inc</t>
        </is>
      </c>
      <c r="K5" s="10" t="n">
        <v>-141640153019.9352</v>
      </c>
      <c r="L5" t="n">
        <v>2</v>
      </c>
      <c r="M5" t="n">
        <v>1</v>
      </c>
      <c r="N5" t="n">
        <v>1</v>
      </c>
      <c r="O5" s="4" t="n">
        <v>-21193.64392171994</v>
      </c>
    </row>
    <row r="6">
      <c r="A6" t="n">
        <v>2</v>
      </c>
      <c r="B6" t="inlineStr">
        <is>
          <t>Nvidia Corporation</t>
        </is>
      </c>
      <c r="C6" s="10" t="n">
        <v>216694748607.3929</v>
      </c>
      <c r="D6" t="n">
        <v>3144</v>
      </c>
      <c r="E6" t="n">
        <v>2378</v>
      </c>
      <c r="F6" t="n">
        <v>205</v>
      </c>
      <c r="G6" s="4" t="n">
        <v>0.06433867527316219</v>
      </c>
      <c r="I6" t="n">
        <v>2</v>
      </c>
      <c r="J6" t="inlineStr">
        <is>
          <t>Honeywell Intl Inc</t>
        </is>
      </c>
      <c r="K6" s="10" t="n">
        <v>-55448293588.08466</v>
      </c>
      <c r="L6" t="n">
        <v>74</v>
      </c>
      <c r="M6" t="n">
        <v>2640</v>
      </c>
      <c r="N6" t="n">
        <v>2589</v>
      </c>
      <c r="O6" s="4" t="n">
        <v>-99.51426996723953</v>
      </c>
    </row>
    <row r="7">
      <c r="A7" t="n">
        <v>3</v>
      </c>
      <c r="B7" t="inlineStr">
        <is>
          <t>Apple Inc</t>
        </is>
      </c>
      <c r="C7" s="10" t="n">
        <v>159959467702.5099</v>
      </c>
      <c r="D7" t="n">
        <v>2641</v>
      </c>
      <c r="E7" t="n">
        <v>2944</v>
      </c>
      <c r="F7" t="n">
        <v>99</v>
      </c>
      <c r="G7" s="4" t="n">
        <v>0.05667180764890062</v>
      </c>
      <c r="I7" t="n">
        <v>3</v>
      </c>
      <c r="J7" t="inlineStr">
        <is>
          <t>Thomson Reuters Corp</t>
        </is>
      </c>
      <c r="K7" s="10" t="n">
        <v>-33413511172.41649</v>
      </c>
      <c r="L7" t="n">
        <v>3</v>
      </c>
      <c r="M7" t="n">
        <v>443</v>
      </c>
      <c r="N7" t="n">
        <v>437</v>
      </c>
      <c r="O7" s="4" t="n">
        <v>-471.1780014726184</v>
      </c>
    </row>
    <row r="8">
      <c r="A8" t="n">
        <v>4</v>
      </c>
      <c r="B8" t="inlineStr">
        <is>
          <t>Amazon Com Inc</t>
        </is>
      </c>
      <c r="C8" s="10" t="n">
        <v>121105237011.4343</v>
      </c>
      <c r="D8" t="n">
        <v>3074</v>
      </c>
      <c r="E8" t="n">
        <v>2436</v>
      </c>
      <c r="F8" t="n">
        <v>198</v>
      </c>
      <c r="G8" s="4" t="n">
        <v>0.0698300515636517</v>
      </c>
      <c r="I8" t="n">
        <v>4</v>
      </c>
      <c r="J8" t="inlineStr">
        <is>
          <t>Coterra Energy Inc</t>
        </is>
      </c>
      <c r="K8" s="10" t="n">
        <v>-23019653448</v>
      </c>
      <c r="L8" t="n">
        <v>2</v>
      </c>
      <c r="M8" t="n">
        <v>932</v>
      </c>
      <c r="N8" t="n">
        <v>931</v>
      </c>
      <c r="O8" s="4" t="n">
        <v>-2550.389898442655</v>
      </c>
    </row>
    <row r="9">
      <c r="A9" t="n">
        <v>5</v>
      </c>
      <c r="B9" t="inlineStr">
        <is>
          <t>Alphabet Inc</t>
        </is>
      </c>
      <c r="C9" s="10" t="n">
        <v>117495732614.0997</v>
      </c>
      <c r="D9" t="n">
        <v>2199</v>
      </c>
      <c r="E9" t="n">
        <v>2371</v>
      </c>
      <c r="F9" t="n">
        <v>204</v>
      </c>
      <c r="G9" s="4" t="n">
        <v>0.09618625471319284</v>
      </c>
      <c r="I9" t="n">
        <v>5</v>
      </c>
      <c r="J9" t="inlineStr">
        <is>
          <t>Carnival Corp</t>
        </is>
      </c>
      <c r="K9" s="10" t="n">
        <v>-22277089715.71128</v>
      </c>
      <c r="L9" t="n">
        <v>22</v>
      </c>
      <c r="M9" t="n">
        <v>961</v>
      </c>
      <c r="N9" t="n">
        <v>953</v>
      </c>
      <c r="O9" s="4" t="n">
        <v>-11.85017357910902</v>
      </c>
    </row>
    <row r="10">
      <c r="A10" t="n">
        <v>6</v>
      </c>
      <c r="B10" t="inlineStr">
        <is>
          <t>Microsoft Corp</t>
        </is>
      </c>
      <c r="C10" s="10" t="n">
        <v>114555667526.9244</v>
      </c>
      <c r="D10" t="n">
        <v>3268</v>
      </c>
      <c r="E10" t="n">
        <v>2480</v>
      </c>
      <c r="F10" t="n">
        <v>123</v>
      </c>
      <c r="G10" s="4" t="n">
        <v>0.05544087198840765</v>
      </c>
      <c r="I10" t="n">
        <v>6</v>
      </c>
      <c r="J10" t="inlineStr">
        <is>
          <t>Trip Com Group Ltd</t>
        </is>
      </c>
      <c r="K10" s="10" t="n">
        <v>-20477762606.37768</v>
      </c>
      <c r="L10" t="n">
        <v>1</v>
      </c>
      <c r="M10" t="n">
        <v>4</v>
      </c>
      <c r="N10" t="n">
        <v>3</v>
      </c>
      <c r="O10" s="4" t="n">
        <v>-4982.091852362563</v>
      </c>
    </row>
    <row r="11">
      <c r="A11" t="n">
        <v>7</v>
      </c>
      <c r="B11" t="inlineStr">
        <is>
          <t>Berkshire Hathaway Inc Del</t>
        </is>
      </c>
      <c r="C11" s="10" t="n">
        <v>101642908200</v>
      </c>
      <c r="D11" t="n">
        <v>133</v>
      </c>
      <c r="E11" t="n">
        <v>228</v>
      </c>
      <c r="F11" t="n">
        <v>47</v>
      </c>
      <c r="G11" s="4" t="n">
        <v>1.581879332841749</v>
      </c>
      <c r="I11" t="n">
        <v>7</v>
      </c>
      <c r="J11" t="inlineStr">
        <is>
          <t>Hologic Inc</t>
        </is>
      </c>
      <c r="K11" s="10" t="n">
        <v>-15932011909.76388</v>
      </c>
      <c r="L11" t="n">
        <v>0</v>
      </c>
      <c r="M11" t="n">
        <v>682</v>
      </c>
      <c r="N11" t="n">
        <v>680</v>
      </c>
      <c r="O11" s="4" t="n">
        <v>-142.2130699905214</v>
      </c>
    </row>
    <row r="12">
      <c r="A12" t="n">
        <v>8</v>
      </c>
      <c r="B12" t="inlineStr">
        <is>
          <t>Alphabet Inc</t>
        </is>
      </c>
      <c r="C12" s="10" t="n">
        <v>92611153290.72452</v>
      </c>
      <c r="D12" t="n">
        <v>2528</v>
      </c>
      <c r="E12" t="n">
        <v>2649</v>
      </c>
      <c r="F12" t="n">
        <v>223</v>
      </c>
      <c r="G12" s="4" t="n">
        <v>0.05242429832550058</v>
      </c>
      <c r="I12" t="n">
        <v>8</v>
      </c>
      <c r="J12" t="inlineStr">
        <is>
          <t>Ascendis Pharma A/S</t>
        </is>
      </c>
      <c r="K12" s="10" t="n">
        <v>-14167411565.88565</v>
      </c>
      <c r="L12" t="n">
        <v>7</v>
      </c>
      <c r="M12" t="n">
        <v>255</v>
      </c>
      <c r="N12" t="n">
        <v>254</v>
      </c>
      <c r="O12" s="4" t="n">
        <v>-50.27799251186525</v>
      </c>
    </row>
    <row r="13">
      <c r="A13" t="n">
        <v>9</v>
      </c>
      <c r="B13" t="inlineStr">
        <is>
          <t>Broadcom Inc</t>
        </is>
      </c>
      <c r="C13" s="10" t="n">
        <v>81020930673.43213</v>
      </c>
      <c r="D13" t="n">
        <v>2517</v>
      </c>
      <c r="E13" t="n">
        <v>1965</v>
      </c>
      <c r="F13" t="n">
        <v>261</v>
      </c>
      <c r="G13" s="4" t="n">
        <v>0.0546767730502709</v>
      </c>
      <c r="I13" t="n">
        <v>9</v>
      </c>
      <c r="J13" t="inlineStr">
        <is>
          <t>Dupont De Nemours Inc</t>
        </is>
      </c>
      <c r="K13" s="10" t="n">
        <v>-14049486452.49976</v>
      </c>
      <c r="L13" t="n">
        <v>23</v>
      </c>
      <c r="M13" t="n">
        <v>1162</v>
      </c>
      <c r="N13" t="n">
        <v>1145</v>
      </c>
      <c r="O13" s="4" t="n">
        <v>-232.9913412692327</v>
      </c>
    </row>
    <row r="14">
      <c r="A14" t="n">
        <v>10</v>
      </c>
      <c r="B14" t="inlineStr">
        <is>
          <t>Advanced Micro Devices Inc</t>
        </is>
      </c>
      <c r="C14" s="10" t="n">
        <v>68930206080.00999</v>
      </c>
      <c r="D14" t="n">
        <v>2174</v>
      </c>
      <c r="E14" t="n">
        <v>1554</v>
      </c>
      <c r="F14" t="n">
        <v>912</v>
      </c>
      <c r="G14" s="4" t="n">
        <v>0.09931135416400126</v>
      </c>
      <c r="I14" t="n">
        <v>10</v>
      </c>
      <c r="J14" t="inlineStr">
        <is>
          <t>Strategy Inc</t>
        </is>
      </c>
      <c r="K14" s="10" t="n">
        <v>-11246912497.57143</v>
      </c>
      <c r="L14" t="n">
        <v>1</v>
      </c>
      <c r="M14" t="n">
        <v>1</v>
      </c>
      <c r="N14" t="n">
        <v>1</v>
      </c>
      <c r="O14" s="4" t="n">
        <v>-62856.14285714286</v>
      </c>
    </row>
    <row r="15">
      <c r="A15" t="n">
        <v>11</v>
      </c>
      <c r="B15" t="inlineStr">
        <is>
          <t>Tesla Inc</t>
        </is>
      </c>
      <c r="C15" s="10" t="n">
        <v>62013667355.4</v>
      </c>
      <c r="D15" t="n">
        <v>2300</v>
      </c>
      <c r="E15" t="n">
        <v>1460</v>
      </c>
      <c r="F15" t="n">
        <v>230</v>
      </c>
      <c r="G15" s="4" t="n">
        <v>0.08657563245425044</v>
      </c>
      <c r="I15" t="n">
        <v>11</v>
      </c>
      <c r="J15" t="inlineStr">
        <is>
          <t>Masimo Corp</t>
        </is>
      </c>
      <c r="K15" s="10" t="n">
        <v>-9696904948.704546</v>
      </c>
      <c r="L15" t="n">
        <v>0</v>
      </c>
      <c r="M15" t="n">
        <v>441</v>
      </c>
      <c r="N15" t="n">
        <v>439</v>
      </c>
      <c r="O15" s="4" t="n">
        <v>-598722.2121946496</v>
      </c>
    </row>
    <row r="16">
      <c r="A16" t="n">
        <v>12</v>
      </c>
      <c r="B16" t="inlineStr">
        <is>
          <t>Meta Platforms Inc</t>
        </is>
      </c>
      <c r="C16" s="10" t="n">
        <v>61945037483.42267</v>
      </c>
      <c r="D16" t="n">
        <v>2582</v>
      </c>
      <c r="E16" t="n">
        <v>2034</v>
      </c>
      <c r="F16" t="n">
        <v>151</v>
      </c>
      <c r="G16" s="4" t="n">
        <v>0.06407103595753877</v>
      </c>
      <c r="I16" t="n">
        <v>12</v>
      </c>
      <c r="J16" t="inlineStr">
        <is>
          <t>Clearwater Analytics Hldgs I</t>
        </is>
      </c>
      <c r="K16" s="10" t="n">
        <v>-7410240231.214286</v>
      </c>
      <c r="L16" t="n">
        <v>0</v>
      </c>
      <c r="M16" t="n">
        <v>319</v>
      </c>
      <c r="N16" t="n">
        <v>316</v>
      </c>
      <c r="O16" s="4" t="n">
        <v>-342211.1494972885</v>
      </c>
    </row>
    <row r="17">
      <c r="A17" t="n">
        <v>13</v>
      </c>
      <c r="B17" t="inlineStr">
        <is>
          <t>Honeywell Intl Inc</t>
        </is>
      </c>
      <c r="C17" s="10" t="n">
        <v>54393703003.45</v>
      </c>
      <c r="D17" t="n">
        <v>1978</v>
      </c>
      <c r="E17" t="n">
        <v>3</v>
      </c>
      <c r="F17" t="n">
        <v>1977</v>
      </c>
      <c r="G17" s="4" t="n">
        <v>0.9933678176520692</v>
      </c>
      <c r="I17" t="n">
        <v>13</v>
      </c>
      <c r="J17" t="inlineStr">
        <is>
          <t>Booking Holdings Inc</t>
        </is>
      </c>
      <c r="K17" s="10" t="n">
        <v>-7340033174.080001</v>
      </c>
      <c r="L17" t="n">
        <v>868</v>
      </c>
      <c r="M17" t="n">
        <v>975</v>
      </c>
      <c r="N17" t="n">
        <v>152</v>
      </c>
      <c r="O17" s="4" t="n">
        <v>-0.05232950549268535</v>
      </c>
    </row>
    <row r="18">
      <c r="A18" t="n">
        <v>14</v>
      </c>
      <c r="B18" t="inlineStr">
        <is>
          <t>Honeywell Aerospace Inc</t>
        </is>
      </c>
      <c r="C18" s="10" t="n">
        <v>51936318066.03713</v>
      </c>
      <c r="D18" t="n">
        <v>2009</v>
      </c>
      <c r="E18" t="n">
        <v>0</v>
      </c>
      <c r="F18" t="n">
        <v>2009</v>
      </c>
      <c r="G18" s="4" t="n">
        <v>1.002592102515809</v>
      </c>
      <c r="I18" t="n">
        <v>14</v>
      </c>
      <c r="J18" t="inlineStr">
        <is>
          <t>Air Lease Corp</t>
        </is>
      </c>
      <c r="K18" s="10" t="n">
        <v>-6850059873.653614</v>
      </c>
      <c r="L18" t="n">
        <v>0</v>
      </c>
      <c r="M18" t="n">
        <v>421</v>
      </c>
      <c r="N18" t="n">
        <v>419</v>
      </c>
      <c r="O18" s="4" t="n">
        <v>-252807.0517291709</v>
      </c>
    </row>
    <row r="19">
      <c r="A19" t="n">
        <v>15</v>
      </c>
      <c r="B19" t="inlineStr">
        <is>
          <t>Micron Technology Inc</t>
        </is>
      </c>
      <c r="C19" s="10" t="n">
        <v>39800023100.28631</v>
      </c>
      <c r="D19" t="n">
        <v>2209</v>
      </c>
      <c r="E19" t="n">
        <v>1517</v>
      </c>
      <c r="F19" t="n">
        <v>962</v>
      </c>
      <c r="G19" s="4" t="n">
        <v>0.03915872076385649</v>
      </c>
      <c r="I19" t="n">
        <v>15</v>
      </c>
      <c r="J19" t="inlineStr">
        <is>
          <t>Arcellx Inc</t>
        </is>
      </c>
      <c r="K19" s="10" t="n">
        <v>-6408211897.564102</v>
      </c>
      <c r="L19" t="n">
        <v>1</v>
      </c>
      <c r="M19" t="n">
        <v>229</v>
      </c>
      <c r="N19" t="n">
        <v>229</v>
      </c>
      <c r="O19" s="4" t="n">
        <v>-1867.468852524993</v>
      </c>
    </row>
    <row r="20">
      <c r="A20" t="n">
        <v>16</v>
      </c>
      <c r="B20" t="inlineStr">
        <is>
          <t>Eli Lilly &amp; Co</t>
        </is>
      </c>
      <c r="C20" s="10" t="n">
        <v>36572757194.49603</v>
      </c>
      <c r="D20" t="n">
        <v>2530</v>
      </c>
      <c r="E20" t="n">
        <v>1544</v>
      </c>
      <c r="F20" t="n">
        <v>334</v>
      </c>
      <c r="G20" s="4" t="n">
        <v>0.03865137157679233</v>
      </c>
      <c r="I20" t="n">
        <v>16</v>
      </c>
      <c r="J20" t="inlineStr">
        <is>
          <t>Terns Pharmaceuticals Inc</t>
        </is>
      </c>
      <c r="K20" s="10" t="n">
        <v>-6329334998.531019</v>
      </c>
      <c r="L20" t="n">
        <v>0</v>
      </c>
      <c r="M20" t="n">
        <v>301</v>
      </c>
      <c r="N20" t="n">
        <v>301</v>
      </c>
      <c r="O20" s="4" t="n">
        <v>-9594.306171668235</v>
      </c>
    </row>
    <row r="21">
      <c r="A21" t="n">
        <v>17</v>
      </c>
      <c r="B21" t="inlineStr">
        <is>
          <t>Lam Research Corp</t>
        </is>
      </c>
      <c r="C21" s="10" t="n">
        <v>33176221072.68668</v>
      </c>
      <c r="D21" t="n">
        <v>1621</v>
      </c>
      <c r="E21" t="n">
        <v>1226</v>
      </c>
      <c r="F21" t="n">
        <v>563</v>
      </c>
      <c r="G21" s="4" t="n">
        <v>0.07189797114349129</v>
      </c>
      <c r="I21" t="n">
        <v>17</v>
      </c>
      <c r="J21" t="inlineStr">
        <is>
          <t>Sealed Air Corp New</t>
        </is>
      </c>
      <c r="K21" s="10" t="n">
        <v>-6316515923.584906</v>
      </c>
      <c r="L21" t="n">
        <v>0</v>
      </c>
      <c r="M21" t="n">
        <v>408</v>
      </c>
      <c r="N21" t="n">
        <v>407</v>
      </c>
      <c r="O21" s="4" t="n">
        <v>-471241.1163522013</v>
      </c>
    </row>
    <row r="22">
      <c r="A22" t="n">
        <v>18</v>
      </c>
      <c r="B22" t="inlineStr">
        <is>
          <t>Thomson Reuters Corp</t>
        </is>
      </c>
      <c r="C22" s="10" t="n">
        <v>32914169335.16331</v>
      </c>
      <c r="D22" t="n">
        <v>397</v>
      </c>
      <c r="E22" t="n">
        <v>4</v>
      </c>
      <c r="F22" t="n">
        <v>395</v>
      </c>
      <c r="G22" s="4" t="n">
        <v>0.996645909284455</v>
      </c>
      <c r="I22" t="n">
        <v>18</v>
      </c>
      <c r="J22" t="inlineStr">
        <is>
          <t>Immunocore Hldgs Plc</t>
        </is>
      </c>
      <c r="K22" s="10" t="n">
        <v>-6027503063.602941</v>
      </c>
      <c r="L22" t="n">
        <v>0</v>
      </c>
      <c r="M22" t="n">
        <v>2</v>
      </c>
      <c r="N22" t="n">
        <v>1</v>
      </c>
      <c r="O22" s="4" t="n">
        <v>-23897.61029411764</v>
      </c>
    </row>
    <row r="23">
      <c r="A23" t="n">
        <v>19</v>
      </c>
      <c r="B23" t="inlineStr">
        <is>
          <t>Intel Corp</t>
        </is>
      </c>
      <c r="C23" s="10" t="n">
        <v>32237162960.23</v>
      </c>
      <c r="D23" t="n">
        <v>2056</v>
      </c>
      <c r="E23" t="n">
        <v>1257</v>
      </c>
      <c r="F23" t="n">
        <v>1054</v>
      </c>
      <c r="G23" s="4" t="n">
        <v>0.06524137490191603</v>
      </c>
      <c r="I23" t="n">
        <v>19</v>
      </c>
      <c r="J23" t="inlineStr">
        <is>
          <t>Apellis Pharmaceuticals Inc</t>
        </is>
      </c>
      <c r="K23" s="10" t="n">
        <v>-5649600150.806452</v>
      </c>
      <c r="L23" t="n">
        <v>0</v>
      </c>
      <c r="M23" t="n">
        <v>311</v>
      </c>
      <c r="N23" t="n">
        <v>310</v>
      </c>
      <c r="O23" s="4" t="n">
        <v>-555243.2580645161</v>
      </c>
    </row>
    <row r="24">
      <c r="A24" t="n">
        <v>20</v>
      </c>
      <c r="B24" t="inlineStr">
        <is>
          <t>Unitedhealth Group Inc</t>
        </is>
      </c>
      <c r="C24" s="10" t="n">
        <v>32016746440.18819</v>
      </c>
      <c r="D24" t="n">
        <v>1776</v>
      </c>
      <c r="E24" t="n">
        <v>1370</v>
      </c>
      <c r="F24" t="n">
        <v>474</v>
      </c>
      <c r="G24" s="4" t="n">
        <v>0.09648621253085422</v>
      </c>
      <c r="I24" t="n">
        <v>20</v>
      </c>
      <c r="J24" t="inlineStr">
        <is>
          <t>Centessa Pharmaceuticals Plc</t>
        </is>
      </c>
      <c r="K24" s="10" t="n">
        <v>-5350801591.32</v>
      </c>
      <c r="L24" t="n">
        <v>0</v>
      </c>
      <c r="M24" t="n">
        <v>157</v>
      </c>
      <c r="N24" t="n">
        <v>157</v>
      </c>
      <c r="O24" s="4" t="n"/>
    </row>
    <row r="26">
      <c r="A26" s="6" t="inlineStr">
        <is>
          <t>Breadth: most managers adding (net count)</t>
        </is>
      </c>
      <c r="I26" s="6" t="inlineStr">
        <is>
          <t>Breadth: most managers cutting (net count)</t>
        </is>
      </c>
    </row>
    <row r="27">
      <c r="A27" s="2" t="inlineStr">
        <is>
          <t>#</t>
        </is>
      </c>
      <c r="B27" s="2" t="inlineStr">
        <is>
          <t>Issuer</t>
        </is>
      </c>
      <c r="C27" s="2" t="inlineStr">
        <is>
          <t>Net mgrs</t>
        </is>
      </c>
      <c r="D27" s="2" t="inlineStr">
        <is>
          <t>Buyers</t>
        </is>
      </c>
      <c r="E27" s="2" t="inlineStr">
        <is>
          <t>Sellers</t>
        </is>
      </c>
      <c r="F27" s="2" t="inlineStr">
        <is>
          <t>Net $</t>
        </is>
      </c>
      <c r="G27" s="2" t="inlineStr"/>
      <c r="H27" s="2" t="inlineStr"/>
      <c r="I27" s="2" t="inlineStr">
        <is>
          <t>#</t>
        </is>
      </c>
      <c r="J27" s="2" t="inlineStr">
        <is>
          <t>Issuer</t>
        </is>
      </c>
      <c r="K27" s="2" t="inlineStr">
        <is>
          <t>Net mgrs</t>
        </is>
      </c>
      <c r="L27" s="2" t="inlineStr">
        <is>
          <t>Buyers</t>
        </is>
      </c>
      <c r="M27" s="2" t="inlineStr">
        <is>
          <t>Sellers</t>
        </is>
      </c>
      <c r="N27" s="2" t="inlineStr">
        <is>
          <t>Net $</t>
        </is>
      </c>
    </row>
    <row r="28">
      <c r="A28" t="n">
        <v>1</v>
      </c>
      <c r="B28" t="inlineStr">
        <is>
          <t>Honeywell Aerospace Inc</t>
        </is>
      </c>
      <c r="C28" t="n">
        <v>2009</v>
      </c>
      <c r="D28" t="n">
        <v>2009</v>
      </c>
      <c r="E28" t="n">
        <v>0</v>
      </c>
      <c r="F28" s="10" t="n">
        <v>51936318066.03713</v>
      </c>
      <c r="I28" t="n">
        <v>1</v>
      </c>
      <c r="J28" t="inlineStr">
        <is>
          <t>Honeywell Intl Inc</t>
        </is>
      </c>
      <c r="K28" t="n">
        <v>-2566</v>
      </c>
      <c r="L28" t="n">
        <v>74</v>
      </c>
      <c r="M28" t="n">
        <v>2640</v>
      </c>
      <c r="N28" s="10" t="n">
        <v>-55448293588.08466</v>
      </c>
    </row>
    <row r="29">
      <c r="A29" t="n">
        <v>2</v>
      </c>
      <c r="B29" t="inlineStr">
        <is>
          <t>Honeywell Intl Inc</t>
        </is>
      </c>
      <c r="C29" t="n">
        <v>1975</v>
      </c>
      <c r="D29" t="n">
        <v>1978</v>
      </c>
      <c r="E29" t="n">
        <v>3</v>
      </c>
      <c r="F29" s="10" t="n">
        <v>54393703003.45</v>
      </c>
      <c r="I29" t="n">
        <v>2</v>
      </c>
      <c r="J29" t="inlineStr">
        <is>
          <t>Dupont De Nemours Inc</t>
        </is>
      </c>
      <c r="K29" t="n">
        <v>-1139</v>
      </c>
      <c r="L29" t="n">
        <v>23</v>
      </c>
      <c r="M29" t="n">
        <v>1162</v>
      </c>
      <c r="N29" s="10" t="n">
        <v>-14049486452.49976</v>
      </c>
    </row>
    <row r="30">
      <c r="A30" t="n">
        <v>3</v>
      </c>
      <c r="B30" t="inlineStr">
        <is>
          <t>Space Exploration Techn Corp</t>
        </is>
      </c>
      <c r="C30" t="n">
        <v>1671</v>
      </c>
      <c r="D30" t="n">
        <v>1671</v>
      </c>
      <c r="E30" t="n">
        <v>0</v>
      </c>
      <c r="F30" s="10" t="n">
        <v>570962775886.5601</v>
      </c>
      <c r="I30" t="n">
        <v>3</v>
      </c>
      <c r="J30" t="inlineStr">
        <is>
          <t>Exxon Mobil Corp</t>
        </is>
      </c>
      <c r="K30" t="n">
        <v>-1116</v>
      </c>
      <c r="L30" t="n">
        <v>1594</v>
      </c>
      <c r="M30" t="n">
        <v>2710</v>
      </c>
      <c r="N30" s="10" t="n">
        <v>5534829060.719999</v>
      </c>
    </row>
    <row r="31">
      <c r="A31" t="n">
        <v>4</v>
      </c>
      <c r="B31" t="inlineStr">
        <is>
          <t>Fedex Fght Hldg Co Inc</t>
        </is>
      </c>
      <c r="C31" t="n">
        <v>1110</v>
      </c>
      <c r="D31" t="n">
        <v>1110</v>
      </c>
      <c r="E31" t="n">
        <v>0</v>
      </c>
      <c r="F31" s="10" t="n">
        <v>13859445306</v>
      </c>
      <c r="I31" t="n">
        <v>4</v>
      </c>
      <c r="J31" t="inlineStr">
        <is>
          <t>Carnival Corp</t>
        </is>
      </c>
      <c r="K31" t="n">
        <v>-939</v>
      </c>
      <c r="L31" t="n">
        <v>22</v>
      </c>
      <c r="M31" t="n">
        <v>961</v>
      </c>
      <c r="N31" s="10" t="n">
        <v>-22277089715.71128</v>
      </c>
    </row>
    <row r="32">
      <c r="A32" t="n">
        <v>5</v>
      </c>
      <c r="B32" t="inlineStr">
        <is>
          <t>Dupont De Nemours Inc</t>
        </is>
      </c>
      <c r="C32" t="n">
        <v>1041</v>
      </c>
      <c r="D32" t="n">
        <v>1044</v>
      </c>
      <c r="E32" t="n">
        <v>3</v>
      </c>
      <c r="F32" s="10" t="n">
        <v>13519691903.94791</v>
      </c>
      <c r="I32" t="n">
        <v>5</v>
      </c>
      <c r="J32" t="inlineStr">
        <is>
          <t>Coterra Energy Inc</t>
        </is>
      </c>
      <c r="K32" t="n">
        <v>-930</v>
      </c>
      <c r="L32" t="n">
        <v>2</v>
      </c>
      <c r="M32" t="n">
        <v>932</v>
      </c>
      <c r="N32" s="10" t="n">
        <v>-23019653448</v>
      </c>
    </row>
    <row r="33">
      <c r="A33" t="n">
        <v>6</v>
      </c>
      <c r="B33" t="inlineStr">
        <is>
          <t>Eli Lilly &amp; Co</t>
        </is>
      </c>
      <c r="C33" t="n">
        <v>986</v>
      </c>
      <c r="D33" t="n">
        <v>2530</v>
      </c>
      <c r="E33" t="n">
        <v>1544</v>
      </c>
      <c r="F33" s="10" t="n">
        <v>36572757194.49603</v>
      </c>
      <c r="I33" t="n">
        <v>6</v>
      </c>
      <c r="J33" t="inlineStr">
        <is>
          <t>Hologic Inc</t>
        </is>
      </c>
      <c r="K33" t="n">
        <v>-682</v>
      </c>
      <c r="L33" t="n">
        <v>0</v>
      </c>
      <c r="M33" t="n">
        <v>682</v>
      </c>
      <c r="N33" s="10" t="n">
        <v>-15932011909.76388</v>
      </c>
    </row>
    <row r="34">
      <c r="A34" t="n">
        <v>7</v>
      </c>
      <c r="B34" t="inlineStr">
        <is>
          <t>Carnival Corp Ltd</t>
        </is>
      </c>
      <c r="C34" t="n">
        <v>944</v>
      </c>
      <c r="D34" t="n">
        <v>954</v>
      </c>
      <c r="E34" t="n">
        <v>10</v>
      </c>
      <c r="F34" s="10" t="n">
        <v>25660343305.00919</v>
      </c>
      <c r="I34" t="n">
        <v>7</v>
      </c>
      <c r="J34" t="inlineStr">
        <is>
          <t>Salesforce Inc</t>
        </is>
      </c>
      <c r="K34" t="n">
        <v>-645</v>
      </c>
      <c r="L34" t="n">
        <v>964</v>
      </c>
      <c r="M34" t="n">
        <v>1609</v>
      </c>
      <c r="N34" s="10" t="n">
        <v>-2812697103.393039</v>
      </c>
    </row>
    <row r="35">
      <c r="A35" t="n">
        <v>8</v>
      </c>
      <c r="B35" t="inlineStr">
        <is>
          <t>Tesla Inc</t>
        </is>
      </c>
      <c r="C35" t="n">
        <v>840</v>
      </c>
      <c r="D35" t="n">
        <v>2300</v>
      </c>
      <c r="E35" t="n">
        <v>1460</v>
      </c>
      <c r="F35" s="10" t="n">
        <v>62013667355.4</v>
      </c>
      <c r="I35" t="n">
        <v>8</v>
      </c>
      <c r="J35" t="inlineStr">
        <is>
          <t>Adobe Inc</t>
        </is>
      </c>
      <c r="K35" t="n">
        <v>-465</v>
      </c>
      <c r="L35" t="n">
        <v>798</v>
      </c>
      <c r="M35" t="n">
        <v>1263</v>
      </c>
      <c r="N35" s="10" t="n">
        <v>1746780448.646495</v>
      </c>
    </row>
    <row r="36">
      <c r="A36" t="n">
        <v>9</v>
      </c>
      <c r="B36" t="inlineStr">
        <is>
          <t>Intel Corp</t>
        </is>
      </c>
      <c r="C36" t="n">
        <v>799</v>
      </c>
      <c r="D36" t="n">
        <v>2056</v>
      </c>
      <c r="E36" t="n">
        <v>1257</v>
      </c>
      <c r="F36" s="10" t="n">
        <v>32237162960.23</v>
      </c>
      <c r="I36" t="n">
        <v>9</v>
      </c>
      <c r="J36" t="inlineStr">
        <is>
          <t>Abbott Laboratories</t>
        </is>
      </c>
      <c r="K36" t="n">
        <v>-442</v>
      </c>
      <c r="L36" t="n">
        <v>1198</v>
      </c>
      <c r="M36" t="n">
        <v>1640</v>
      </c>
      <c r="N36" s="10" t="n">
        <v>8049390434.08779</v>
      </c>
    </row>
    <row r="37">
      <c r="A37" t="n">
        <v>10</v>
      </c>
      <c r="B37" t="inlineStr">
        <is>
          <t>Ge Vernova Inc</t>
        </is>
      </c>
      <c r="C37" t="n">
        <v>792</v>
      </c>
      <c r="D37" t="n">
        <v>1896</v>
      </c>
      <c r="E37" t="n">
        <v>1104</v>
      </c>
      <c r="F37" s="10" t="n">
        <v>19237129955.2986</v>
      </c>
      <c r="I37" t="n">
        <v>10</v>
      </c>
      <c r="J37" t="inlineStr">
        <is>
          <t>Masimo Corp</t>
        </is>
      </c>
      <c r="K37" t="n">
        <v>-441</v>
      </c>
      <c r="L37" t="n">
        <v>0</v>
      </c>
      <c r="M37" t="n">
        <v>441</v>
      </c>
      <c r="N37" s="10" t="n">
        <v>-9696904948.704546</v>
      </c>
    </row>
    <row r="39">
      <c r="A39" s="6" t="inlineStr">
        <is>
          <t>ETF flows (net buys)</t>
        </is>
      </c>
      <c r="I39" s="6" t="inlineStr">
        <is>
          <t>ETF flows (net sells)</t>
        </is>
      </c>
    </row>
    <row r="40">
      <c r="B40" t="inlineStr">
        <is>
          <t>Vanguard Index Fds</t>
        </is>
      </c>
      <c r="C40" s="10" t="n">
        <v>118776737917.5611</v>
      </c>
      <c r="J40" t="inlineStr">
        <is>
          <t>Vanguard Index Fds</t>
        </is>
      </c>
      <c r="K40" s="10" t="n">
        <v>-66470646691.53484</v>
      </c>
    </row>
    <row r="41">
      <c r="B41" t="inlineStr">
        <is>
          <t>Ishares Tr</t>
        </is>
      </c>
      <c r="C41" s="10" t="n">
        <v>100084207965.0448</v>
      </c>
      <c r="J41" t="inlineStr">
        <is>
          <t>Ishares Tr</t>
        </is>
      </c>
      <c r="K41" s="10" t="n">
        <v>-6934956729.336668</v>
      </c>
    </row>
    <row r="42">
      <c r="B42" t="inlineStr">
        <is>
          <t>State Str Spdr S&amp;P 500 Etf T</t>
        </is>
      </c>
      <c r="C42" s="10" t="n">
        <v>62911845984.79768</v>
      </c>
      <c r="J42" t="inlineStr">
        <is>
          <t>Ishares Tr</t>
        </is>
      </c>
      <c r="K42" s="10" t="n">
        <v>-6066866069.1</v>
      </c>
    </row>
    <row r="43">
      <c r="B43" t="inlineStr">
        <is>
          <t>Vanguard Index Fds</t>
        </is>
      </c>
      <c r="C43" s="10" t="n">
        <v>35105567435.04297</v>
      </c>
      <c r="J43" t="inlineStr">
        <is>
          <t>State Str Spdr S&amp;P 500 Etf T</t>
        </is>
      </c>
      <c r="K43" s="10" t="n">
        <v>-5027636023.231532</v>
      </c>
    </row>
    <row r="44">
      <c r="B44" t="inlineStr">
        <is>
          <t>Spdr Series Trust</t>
        </is>
      </c>
      <c r="C44" s="10" t="n">
        <v>25232330759.69225</v>
      </c>
      <c r="J44" t="inlineStr">
        <is>
          <t>Ishares Tr</t>
        </is>
      </c>
      <c r="K44" s="10" t="n">
        <v>-4370999792.359487</v>
      </c>
    </row>
    <row r="45">
      <c r="B45" t="inlineStr">
        <is>
          <t>Vanguard Charlotte Fds</t>
        </is>
      </c>
      <c r="C45" s="10" t="n">
        <v>17658415904.55024</v>
      </c>
      <c r="J45" t="inlineStr">
        <is>
          <t>Vanguard Scottsdale Fds</t>
        </is>
      </c>
      <c r="K45" s="10" t="n">
        <v>-4095063786.790091</v>
      </c>
    </row>
    <row r="46">
      <c r="B46" t="inlineStr">
        <is>
          <t>Vanguard Bd Index Fds</t>
        </is>
      </c>
      <c r="C46" s="10" t="n">
        <v>16870124964.36077</v>
      </c>
      <c r="J46" t="inlineStr">
        <is>
          <t>Ishares Tr</t>
        </is>
      </c>
      <c r="K46" s="10" t="n">
        <v>-3727965481.76</v>
      </c>
    </row>
    <row r="47">
      <c r="B47" t="inlineStr">
        <is>
          <t>Ishares Tr</t>
        </is>
      </c>
      <c r="C47" s="10" t="n">
        <v>15527580851.12</v>
      </c>
      <c r="J47" t="inlineStr">
        <is>
          <t>Ishares Tr</t>
        </is>
      </c>
      <c r="K47" s="10" t="n">
        <v>-3716342623.841177</v>
      </c>
    </row>
    <row r="48">
      <c r="B48" t="inlineStr">
        <is>
          <t>Schwab Strategic Tr</t>
        </is>
      </c>
      <c r="C48" s="10" t="n">
        <v>10870757947.43708</v>
      </c>
      <c r="J48" t="inlineStr">
        <is>
          <t>Spdr Series Trust</t>
        </is>
      </c>
      <c r="K48" s="10" t="n">
        <v>-3543570434.84</v>
      </c>
    </row>
    <row r="49">
      <c r="B49" t="inlineStr">
        <is>
          <t>J P Morgan Exchange Traded F</t>
        </is>
      </c>
      <c r="C49" s="10" t="n">
        <v>10567846875.44544</v>
      </c>
      <c r="J49" t="inlineStr">
        <is>
          <t>Ishares Tr</t>
        </is>
      </c>
      <c r="K49" s="10" t="n">
        <v>-3523741016.732048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10" customWidth="1" min="5" max="5"/>
    <col width="80" customWidth="1" min="6" max="6"/>
    <col width="80" customWidth="1" min="7" max="7"/>
  </cols>
  <sheetData>
    <row r="1">
      <c r="A1" s="2" t="inlineStr">
        <is>
          <t>Manager</t>
        </is>
      </c>
      <c r="B1" s="2" t="inlineStr">
        <is>
          <t>AUM</t>
        </is>
      </c>
      <c r="C1" s="2" t="inlineStr">
        <is>
          <t>AUM QoQ</t>
        </is>
      </c>
      <c r="D1" s="2" t="inlineStr">
        <is>
          <t>Net flow</t>
        </is>
      </c>
      <c r="E1" s="2" t="inlineStr">
        <is>
          <t>Turnover</t>
        </is>
      </c>
      <c r="F1" s="2" t="inlineStr">
        <is>
          <t>Top 5 buys</t>
        </is>
      </c>
      <c r="G1" s="2" t="inlineStr">
        <is>
          <t>Top 5 sells</t>
        </is>
      </c>
    </row>
    <row r="2">
      <c r="A2" t="inlineStr">
        <is>
          <t>Blackrock, Inc.</t>
        </is>
      </c>
      <c r="B2" s="3" t="n">
        <v>6706454805102</v>
      </c>
      <c r="C2" s="4" t="n">
        <v>0.1776592653414779</v>
      </c>
      <c r="D2" s="3" t="n">
        <v>124499661839.0356</v>
      </c>
      <c r="E2" s="4" t="n">
        <v>0.01472501992233847</v>
      </c>
      <c r="F2" t="inlineStr">
        <is>
          <t>Space Exploration Techn Corp +8.7bn; Marvell Technology Inc +6.5bn; Apple Inc +5.3bn; Honeywell Aerospace Inc +5.3bn; Microsoft Corp +5.2bn</t>
        </is>
      </c>
      <c r="G2" t="inlineStr">
        <is>
          <t>Honeywell Intl Inc -5.5bn; Intel Corp -2.9bn; Carnival Corp -2.6bn; Coterra Energy Inc -2.1bn; Qualcomm Inc -2.0bn</t>
        </is>
      </c>
    </row>
    <row r="3">
      <c r="A3" t="inlineStr">
        <is>
          <t>Vanguard Capital Management Llc</t>
        </is>
      </c>
      <c r="B3" s="3" t="n">
        <v>4680129845935</v>
      </c>
      <c r="C3" s="4" t="n">
        <v>0.1576175153207922</v>
      </c>
      <c r="D3" s="3" t="n">
        <v>41942326320.62142</v>
      </c>
      <c r="E3" s="4" t="n">
        <v>0.005561657993835978</v>
      </c>
      <c r="F3" t="inlineStr">
        <is>
          <t>Marvell Technology Inc +5.6bn; Honeywell Intl Inc +4.6bn; Honeywell Aerospace Inc +4.6bn; Space Exploration Techn Corp +4.5bn; Carnival Corp Ltd +2.4bn</t>
        </is>
      </c>
      <c r="G3" t="inlineStr">
        <is>
          <t>Honeywell Intl Inc -4.6bn; Carnival Corp -2.1bn; Coterra Energy Inc -1.6bn; Jpmorgan Chase &amp; Co -1.2bn; Dupont De Nemours Inc -1.2bn</t>
        </is>
      </c>
    </row>
    <row r="4">
      <c r="A4" t="inlineStr">
        <is>
          <t>State Street Corp</t>
        </is>
      </c>
      <c r="B4" s="3" t="n">
        <v>3367468171511</v>
      </c>
      <c r="C4" s="4" t="n">
        <v>0.1640564685763446</v>
      </c>
      <c r="D4" s="3" t="n">
        <v>62595962753.7888</v>
      </c>
      <c r="E4" s="4" t="n">
        <v>0.009243598679897649</v>
      </c>
      <c r="F4" t="inlineStr">
        <is>
          <t>Marvell Technology Inc +5.5bn; Alphabet Inc +4.5bn; Apple Inc +3.7bn; Microsoft Corp +3.3bn; Nvidia Corporation +3.2bn</t>
        </is>
      </c>
      <c r="G4" t="inlineStr">
        <is>
          <t>Honeywell Intl Inc -3.6bn; Micron Technology Inc -2.5bn; Coterra Energy Inc -1.6bn; Exxon Mobil Corp -1.0bn; Dupont De Nemours Inc -0.8bn</t>
        </is>
      </c>
    </row>
    <row r="5">
      <c r="A5" t="inlineStr">
        <is>
          <t>Fmr Llc</t>
        </is>
      </c>
      <c r="B5" s="3" t="n">
        <v>2300562920457</v>
      </c>
      <c r="C5" s="4" t="n">
        <v>0.2140827953852014</v>
      </c>
      <c r="D5" s="3" t="n">
        <v>57535869169.13957</v>
      </c>
      <c r="E5" s="4" t="n">
        <v>0.07639017741976321</v>
      </c>
      <c r="F5" t="inlineStr">
        <is>
          <t>Space Exploration Techn Corp +51.7bn; Broadcom Inc +7.6bn; Unitedhealth Group Inc +6.6bn; Nvidia Corporation +6.4bn; Advanced Micro Devices Inc +6.0bn</t>
        </is>
      </c>
      <c r="G5" t="inlineStr">
        <is>
          <t>Marvell Technology Inc -22.1bn; Sandisk Corp -12.6bn; Meta Platforms Inc -11.7bn; Micron Technology Inc -6.2bn; Netflix Inc. -4.9bn</t>
        </is>
      </c>
    </row>
    <row r="6">
      <c r="A6" t="inlineStr">
        <is>
          <t>Vanguard Portfolio Management Llc</t>
        </is>
      </c>
      <c r="B6" s="3" t="n">
        <v>2219148474929</v>
      </c>
      <c r="C6" s="4" t="n">
        <v>0.1593746464121026</v>
      </c>
      <c r="D6" s="3" t="n">
        <v>19290317745.63043</v>
      </c>
      <c r="E6" s="4" t="n">
        <v>0.01873197098239773</v>
      </c>
      <c r="F6" t="inlineStr">
        <is>
          <t>Micron Technology Inc +1.9bn; Carnival Corp Ltd +1.8bn; Honeywell Intl Inc +1.8bn; Space Exploration Techn Corp +1.7bn; Honeywell Aerospace Inc +1.7bn</t>
        </is>
      </c>
      <c r="G6" t="inlineStr">
        <is>
          <t>Marvell Technology Inc -3.6bn; Seagate Technology Hldngs Pl -3.0bn; Western Digital Corp -2.6bn; Corning Inc -2.4bn; Honeywell Intl Inc -1.8bn</t>
        </is>
      </c>
    </row>
    <row r="7">
      <c r="A7" t="inlineStr">
        <is>
          <t>Morgan Stanley</t>
        </is>
      </c>
      <c r="B7" s="3" t="n">
        <v>1889864433853</v>
      </c>
      <c r="C7" s="4" t="n">
        <v>0.1391214148160964</v>
      </c>
      <c r="D7" s="3" t="n">
        <v>28616601787.0024</v>
      </c>
      <c r="E7" s="4" t="n">
        <v>0.03587466563478333</v>
      </c>
      <c r="F7" t="inlineStr">
        <is>
          <t>Nvidia Corporation +2.7bn; Space Exploration Techn Corp +2.3bn; Mckesson Corp +2.3bn; Honeywell Intl Inc +2.2bn; Honeywell Aerospace Inc +2.1bn</t>
        </is>
      </c>
      <c r="G7" t="inlineStr">
        <is>
          <t>Honeywell Intl Inc -2.1bn; Salesforce Inc -1.3bn; Sandisk Corp -1.0bn; Palo Alto Networks Inc -1.0bn; Snowflake Inc -0.9bn</t>
        </is>
      </c>
    </row>
    <row r="8">
      <c r="A8" t="inlineStr">
        <is>
          <t>Geode Capital Management, Llc</t>
        </is>
      </c>
      <c r="B8" s="3" t="n">
        <v>1875165965326</v>
      </c>
      <c r="C8" s="4" t="n">
        <v>0.1665469679456772</v>
      </c>
      <c r="D8" s="3" t="n">
        <v>23762281946.2613</v>
      </c>
      <c r="E8" s="4" t="n">
        <v>0.01385933226961021</v>
      </c>
      <c r="F8" t="inlineStr">
        <is>
          <t>Marvell Technology Inc +2.5bn; Space Exploration Techn Corp +2.3bn; Honeywell Intl Inc +1.8bn; Honeywell Aerospace Inc +1.8bn; Alphabet Inc +1.1bn</t>
        </is>
      </c>
      <c r="G8" t="inlineStr">
        <is>
          <t>Honeywell Intl Inc -1.8bn; Sandisk Corp -1.4bn; Carnival Corp -0.9bn; Coterra Energy Inc -0.7bn; Western Digital Corp -0.7bn</t>
        </is>
      </c>
    </row>
    <row r="9">
      <c r="A9" t="inlineStr">
        <is>
          <t>Jpmorgan Chase &amp; Co</t>
        </is>
      </c>
      <c r="B9" s="3" t="n">
        <v>1710607343286</v>
      </c>
      <c r="C9" s="4" t="n">
        <v>1547.933679267373</v>
      </c>
      <c r="D9" s="3" t="n">
        <v>1723709429474.175</v>
      </c>
      <c r="E9" s="4" t="n">
        <v>0.0004746705541667603</v>
      </c>
      <c r="F9" t="inlineStr">
        <is>
          <t>Nvidia Corporation +89.9bn; Apple Inc +66.2bn; Microsoft Corp +50.4bn; Alphabet Inc +48.7bn; Amazon Com Inc +40.0bn</t>
        </is>
      </c>
      <c r="G9" t="inlineStr">
        <is>
          <t>Hologic Inc -0.1bn; Bel Fuse Inc -0.0bn; Enviri Corp -0.0bn; Clearwater Analytics Hldgs I -0.0bn; Nextera Energy Inc -0.0bn</t>
        </is>
      </c>
    </row>
    <row r="10">
      <c r="A10" t="inlineStr">
        <is>
          <t>Bank Of America Corp /De/</t>
        </is>
      </c>
      <c r="B10" s="3" t="n">
        <v>1551170591923</v>
      </c>
      <c r="C10" s="4" t="n">
        <v>0.1345149697703008</v>
      </c>
      <c r="D10" s="3" t="n">
        <v>37420971401.96417</v>
      </c>
      <c r="E10" s="4" t="n">
        <v>0.04339044355648187</v>
      </c>
      <c r="F10" t="inlineStr">
        <is>
          <t>Micron Technology Inc +2.5bn; Amazon Com Inc +2.2bn; Apple Inc +2.1bn; Cvs Health Corp +1.4bn; Applied Matls Inc +1.4bn</t>
        </is>
      </c>
      <c r="G10" t="inlineStr">
        <is>
          <t>Hewlett Packard Enterprise C -1.6bn; Dell Technologies Inc -1.5bn; Netflix Inc. -1.5bn; Western Digital Corp -1.3bn; Seagate Technology Hldngs Pl -1.2bn</t>
        </is>
      </c>
    </row>
    <row r="11">
      <c r="A11" t="inlineStr">
        <is>
          <t>Invesco Ltd.</t>
        </is>
      </c>
      <c r="B11" s="3" t="n">
        <v>1263385419551</v>
      </c>
      <c r="C11" s="4" t="n">
        <v>0.2348550282177662</v>
      </c>
      <c r="D11" s="3" t="n">
        <v>35821582468.82197</v>
      </c>
      <c r="E11" s="4" t="n">
        <v>0.04008670569363303</v>
      </c>
      <c r="F11" t="inlineStr">
        <is>
          <t>Sandisk Corp +10.1bn; Honeywell Aerospace Inc +2.8bn; Honeywell Intl Inc +2.5bn; Arm Holdings Plc +2.5bn; Astera Labs Inc +2.2bn</t>
        </is>
      </c>
      <c r="G11" t="inlineStr">
        <is>
          <t>Dell Technologies Inc -2.5bn; Invesco Exch Traded Fd Tr Ii -2.4bn; Honeywell Intl Inc -2.4bn; Thomson Reuters Corp -1.0bn; Insmed Inc -0.7bn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Quarter-by-quarter trends by tier</t>
        </is>
      </c>
    </row>
    <row r="3">
      <c r="A3" s="6" t="inlineStr">
        <is>
          <t>Net flow % AUM</t>
        </is>
      </c>
    </row>
    <row r="4">
      <c r="A4" s="2" t="inlineStr">
        <is>
          <t>Tier</t>
        </is>
      </c>
      <c r="B4" s="2" t="inlineStr">
        <is>
          <t>2025Q3</t>
        </is>
      </c>
      <c r="C4" s="2" t="inlineStr">
        <is>
          <t>2025Q4</t>
        </is>
      </c>
      <c r="D4" s="2" t="inlineStr">
        <is>
          <t>2026Q1</t>
        </is>
      </c>
      <c r="E4" s="2" t="inlineStr">
        <is>
          <t>2026Q2</t>
        </is>
      </c>
    </row>
    <row r="5">
      <c r="A5" t="inlineStr">
        <is>
          <t>Top 10 managers</t>
        </is>
      </c>
      <c r="B5" s="4" t="n">
        <v>0.07418340776825301</v>
      </c>
      <c r="C5" s="4" t="n">
        <v>-0.0277032564403161</v>
      </c>
      <c r="D5" s="4" t="n">
        <v>0.009195075040081737</v>
      </c>
      <c r="E5" s="4" t="n">
        <v>0.09753134157516317</v>
      </c>
    </row>
    <row r="6">
      <c r="A6" t="inlineStr">
        <is>
          <t>$10B+ (ex top 10)</t>
        </is>
      </c>
      <c r="B6" s="4" t="n">
        <v>-0.009095478618781497</v>
      </c>
      <c r="C6" s="4" t="n">
        <v>0.04834109783854967</v>
      </c>
      <c r="D6" s="4" t="n">
        <v>0.007862168077417802</v>
      </c>
      <c r="E6" s="4" t="n">
        <v>0.08788652759020106</v>
      </c>
    </row>
    <row r="7">
      <c r="A7" t="inlineStr">
        <is>
          <t>$1B-10B</t>
        </is>
      </c>
      <c r="B7" s="4" t="n">
        <v>-0.08707622583878545</v>
      </c>
      <c r="C7" s="4" t="n">
        <v>17.78903695512174</v>
      </c>
      <c r="D7" s="4" t="n">
        <v>-11.12130203206329</v>
      </c>
      <c r="E7" s="4" t="n">
        <v>0.005267730743676795</v>
      </c>
    </row>
    <row r="8">
      <c r="A8" t="inlineStr">
        <is>
          <t>$100M-1B</t>
        </is>
      </c>
      <c r="B8" s="4" t="n">
        <v>-0.2682371402474733</v>
      </c>
      <c r="C8" s="4" t="n">
        <v>-0.004683389931534542</v>
      </c>
      <c r="D8" s="4" t="n">
        <v>-0.01085434642913947</v>
      </c>
      <c r="E8" s="4" t="n">
        <v>-0.02434816217376231</v>
      </c>
    </row>
    <row r="9">
      <c r="A9" t="inlineStr">
        <is>
          <t>All 13F filers ($100M+)</t>
        </is>
      </c>
      <c r="B9" s="4" t="n">
        <v>0.008533573664327273</v>
      </c>
      <c r="C9" s="4" t="n">
        <v>1.515788101088504</v>
      </c>
      <c r="D9" s="4" t="n">
        <v>-1.559997122884804</v>
      </c>
      <c r="E9" s="4" t="n">
        <v>0.08098704104101385</v>
      </c>
    </row>
    <row r="12">
      <c r="A12" s="6" t="inlineStr">
        <is>
          <t>Turnover</t>
        </is>
      </c>
    </row>
    <row r="13">
      <c r="A13" s="2" t="inlineStr">
        <is>
          <t>Tier</t>
        </is>
      </c>
      <c r="B13" s="2" t="inlineStr">
        <is>
          <t>2025Q3</t>
        </is>
      </c>
      <c r="C13" s="2" t="inlineStr">
        <is>
          <t>2025Q4</t>
        </is>
      </c>
      <c r="D13" s="2" t="inlineStr">
        <is>
          <t>2026Q1</t>
        </is>
      </c>
      <c r="E13" s="2" t="inlineStr">
        <is>
          <t>2026Q2</t>
        </is>
      </c>
    </row>
    <row r="14">
      <c r="A14" t="inlineStr">
        <is>
          <t>Top 10 managers</t>
        </is>
      </c>
      <c r="B14" s="4" t="n">
        <v>0.01928638093949901</v>
      </c>
      <c r="C14" s="4" t="n">
        <v>0.05313147820365249</v>
      </c>
      <c r="D14" s="4" t="n">
        <v>0.02876572668870564</v>
      </c>
      <c r="E14" s="4" t="n">
        <v>0.02359049144620898</v>
      </c>
    </row>
    <row r="15">
      <c r="A15" t="inlineStr">
        <is>
          <t>$10B+ (ex top 10)</t>
        </is>
      </c>
      <c r="B15" s="4" t="n">
        <v>0.09697859973539755</v>
      </c>
      <c r="C15" s="4" t="n">
        <v>0.08965047652998442</v>
      </c>
      <c r="D15" s="4" t="n">
        <v>0.1091873989678402</v>
      </c>
      <c r="E15" s="4" t="n">
        <v>0.1015488945427281</v>
      </c>
    </row>
    <row r="16">
      <c r="A16" t="inlineStr">
        <is>
          <t>$1B-10B</t>
        </is>
      </c>
      <c r="B16" s="4" t="n">
        <v>0.1414763836233051</v>
      </c>
      <c r="C16" s="4" t="n">
        <v>0.1417083986494524</v>
      </c>
      <c r="D16" s="4" t="n">
        <v>0.1434566764209927</v>
      </c>
      <c r="E16" s="4" t="n">
        <v>0.166187636234164</v>
      </c>
    </row>
    <row r="17">
      <c r="A17" t="inlineStr">
        <is>
          <t>$100M-1B</t>
        </is>
      </c>
      <c r="B17" s="4" t="n">
        <v>0.1275810463653884</v>
      </c>
      <c r="C17" s="4" t="n">
        <v>0.13442233531817</v>
      </c>
      <c r="D17" s="4" t="n">
        <v>0.1409079198899875</v>
      </c>
      <c r="E17" s="4" t="n">
        <v>0.1508262453424333</v>
      </c>
    </row>
    <row r="18">
      <c r="A18" t="inlineStr">
        <is>
          <t>All 13F filers ($100M+)</t>
        </is>
      </c>
      <c r="B18" s="4" t="n">
        <v>0.09003787934146924</v>
      </c>
      <c r="C18" s="4" t="n">
        <v>0.09178421039491728</v>
      </c>
      <c r="D18" s="4" t="n">
        <v>0.09736564915988555</v>
      </c>
      <c r="E18" s="4" t="n">
        <v>0.08065849749422298</v>
      </c>
    </row>
    <row r="21">
      <c r="A21" s="6" t="inlineStr">
        <is>
          <t>Stock net flow</t>
        </is>
      </c>
    </row>
    <row r="22">
      <c r="A22" s="2" t="inlineStr">
        <is>
          <t>Tier</t>
        </is>
      </c>
      <c r="B22" s="2" t="inlineStr">
        <is>
          <t>2025Q3</t>
        </is>
      </c>
      <c r="C22" s="2" t="inlineStr">
        <is>
          <t>2025Q4</t>
        </is>
      </c>
      <c r="D22" s="2" t="inlineStr">
        <is>
          <t>2026Q1</t>
        </is>
      </c>
      <c r="E22" s="2" t="inlineStr">
        <is>
          <t>2026Q2</t>
        </is>
      </c>
    </row>
    <row r="23">
      <c r="A23" t="inlineStr">
        <is>
          <t>Top 10 managers</t>
        </is>
      </c>
      <c r="B23" s="3" t="n">
        <v>1390329287832.687</v>
      </c>
      <c r="C23" s="3" t="n">
        <v>-430571416172.5557</v>
      </c>
      <c r="D23" s="3" t="n">
        <v>108121328426.9682</v>
      </c>
      <c r="E23" s="3" t="n">
        <v>1775781343460.194</v>
      </c>
    </row>
    <row r="24">
      <c r="A24" t="inlineStr">
        <is>
          <t>$10B+ (ex top 10)</t>
        </is>
      </c>
      <c r="B24" s="3" t="n">
        <v>-323723081253.4065</v>
      </c>
      <c r="C24" s="3" t="n">
        <v>1244390103938.14</v>
      </c>
      <c r="D24" s="3" t="n">
        <v>77201990421.4256</v>
      </c>
      <c r="E24" s="3" t="n">
        <v>2450657146416.766</v>
      </c>
    </row>
    <row r="25">
      <c r="A25" t="inlineStr">
        <is>
          <t>$1B-10B</t>
        </is>
      </c>
      <c r="B25" s="3" t="n">
        <v>-389222671420.1925</v>
      </c>
      <c r="C25" s="3" t="n">
        <v>95504770931915.88</v>
      </c>
      <c r="D25" s="3" t="n">
        <v>-92301484917524.75</v>
      </c>
      <c r="E25" s="3" t="n">
        <v>35059637955.75331</v>
      </c>
    </row>
    <row r="26">
      <c r="A26" t="inlineStr">
        <is>
          <t>$100M-1B</t>
        </is>
      </c>
      <c r="B26" s="3" t="n">
        <v>-516328516442.6969</v>
      </c>
      <c r="C26" s="3" t="n">
        <v>-26083542947.98805</v>
      </c>
      <c r="D26" s="3" t="n">
        <v>-32196204647.14186</v>
      </c>
      <c r="E26" s="3" t="n">
        <v>-73621643032.94925</v>
      </c>
    </row>
    <row r="27">
      <c r="A27" t="inlineStr">
        <is>
          <t>All 13F filers ($100M+)</t>
        </is>
      </c>
      <c r="B27" s="3" t="n">
        <v>161055018716.3912</v>
      </c>
      <c r="C27" s="3" t="n">
        <v>96292506076733.48</v>
      </c>
      <c r="D27" s="3" t="n">
        <v>-92148357803323.5</v>
      </c>
      <c r="E27" s="3" t="n">
        <v>4187876484799.764</v>
      </c>
    </row>
    <row r="30">
      <c r="A30" s="6" t="inlineStr">
        <is>
          <t>ETF net flow</t>
        </is>
      </c>
    </row>
    <row r="31">
      <c r="A31" s="2" t="inlineStr">
        <is>
          <t>Tier</t>
        </is>
      </c>
      <c r="B31" s="2" t="inlineStr">
        <is>
          <t>2025Q3</t>
        </is>
      </c>
      <c r="C31" s="2" t="inlineStr">
        <is>
          <t>2025Q4</t>
        </is>
      </c>
      <c r="D31" s="2" t="inlineStr">
        <is>
          <t>2026Q1</t>
        </is>
      </c>
      <c r="E31" s="2" t="inlineStr">
        <is>
          <t>2026Q2</t>
        </is>
      </c>
    </row>
    <row r="32">
      <c r="A32" t="inlineStr">
        <is>
          <t>Top 10 managers</t>
        </is>
      </c>
      <c r="B32" s="3" t="n">
        <v>322956452276.9263</v>
      </c>
      <c r="C32" s="3" t="n">
        <v>-275162558036.8305</v>
      </c>
      <c r="D32" s="3" t="n">
        <v>52515029522.17827</v>
      </c>
      <c r="E32" s="3" t="n">
        <v>379413661446.2464</v>
      </c>
    </row>
    <row r="33">
      <c r="A33" t="inlineStr">
        <is>
          <t>$10B+ (ex top 10)</t>
        </is>
      </c>
      <c r="B33" s="3" t="n">
        <v>64427568945.85597</v>
      </c>
      <c r="C33" s="3" t="n">
        <v>260509049222.9367</v>
      </c>
      <c r="D33" s="3" t="n">
        <v>168499172835.9669</v>
      </c>
      <c r="E33" s="3" t="n">
        <v>407483871789.5362</v>
      </c>
    </row>
    <row r="34">
      <c r="A34" t="inlineStr">
        <is>
          <t>$1B-10B</t>
        </is>
      </c>
      <c r="B34" s="3" t="n">
        <v>-54029825162.59633</v>
      </c>
      <c r="C34" s="3" t="n">
        <v>433889700967.0891</v>
      </c>
      <c r="D34" s="3" t="n">
        <v>-543111606750.5048</v>
      </c>
      <c r="E34" s="3" t="n">
        <v>-8300069348.096985</v>
      </c>
    </row>
    <row r="35">
      <c r="A35" t="inlineStr">
        <is>
          <t>$100M-1B</t>
        </is>
      </c>
      <c r="B35" s="3" t="n">
        <v>5638712511.635702</v>
      </c>
      <c r="C35" s="3" t="n">
        <v>17579455984.40431</v>
      </c>
      <c r="D35" s="3" t="n">
        <v>8300697380.633717</v>
      </c>
      <c r="E35" s="3" t="n">
        <v>26162740370.64936</v>
      </c>
    </row>
    <row r="36">
      <c r="A36" t="inlineStr">
        <is>
          <t>All 13F filers ($100M+)</t>
        </is>
      </c>
      <c r="B36" s="3" t="n">
        <v>338992908571.8215</v>
      </c>
      <c r="C36" s="3" t="n">
        <v>436815648137.5995</v>
      </c>
      <c r="D36" s="3" t="n">
        <v>-313796707011.7259</v>
      </c>
      <c r="E36" s="3" t="n">
        <v>804760204258.335</v>
      </c>
    </row>
    <row r="39">
      <c r="A39" s="6" t="inlineStr">
        <is>
          <t>Put/Call notional</t>
        </is>
      </c>
    </row>
    <row r="40">
      <c r="A40" s="2" t="inlineStr">
        <is>
          <t>Tier</t>
        </is>
      </c>
      <c r="B40" s="2" t="inlineStr">
        <is>
          <t>2025Q3</t>
        </is>
      </c>
      <c r="C40" s="2" t="inlineStr">
        <is>
          <t>2025Q4</t>
        </is>
      </c>
      <c r="D40" s="2" t="inlineStr">
        <is>
          <t>2026Q1</t>
        </is>
      </c>
      <c r="E40" s="2" t="inlineStr">
        <is>
          <t>2026Q2</t>
        </is>
      </c>
    </row>
    <row r="41">
      <c r="A41" t="inlineStr">
        <is>
          <t>Top 10 managers</t>
        </is>
      </c>
      <c r="B41" s="5" t="n">
        <v>1.119269495496511</v>
      </c>
      <c r="C41" s="5" t="n">
        <v>0.7967964493222842</v>
      </c>
      <c r="D41" s="5" t="n">
        <v>0.2211766053258923</v>
      </c>
      <c r="E41" s="5" t="n">
        <v>1.19869760374035</v>
      </c>
    </row>
    <row r="42">
      <c r="A42" t="inlineStr">
        <is>
          <t>$10B+ (ex top 10)</t>
        </is>
      </c>
      <c r="B42" s="5" t="n">
        <v>1.206450733763992</v>
      </c>
      <c r="C42" s="5" t="n">
        <v>1.178733125696214</v>
      </c>
      <c r="D42" s="5" t="n">
        <v>1.133100606957609</v>
      </c>
      <c r="E42" s="5" t="n">
        <v>1.235397454528978</v>
      </c>
    </row>
    <row r="43">
      <c r="A43" t="inlineStr">
        <is>
          <t>$1B-10B</t>
        </is>
      </c>
      <c r="B43" s="5" t="n">
        <v>1.173865639387282</v>
      </c>
      <c r="C43" s="5" t="n">
        <v>1.131690771148846</v>
      </c>
      <c r="D43" s="5" t="n">
        <v>1.143468143075279</v>
      </c>
      <c r="E43" s="5" t="n">
        <v>1.066294100960671</v>
      </c>
    </row>
    <row r="44">
      <c r="A44" t="inlineStr">
        <is>
          <t>$100M-1B</t>
        </is>
      </c>
      <c r="B44" s="5" t="n">
        <v>1.78408604406961</v>
      </c>
      <c r="C44" s="5" t="n">
        <v>1.458268633782834</v>
      </c>
      <c r="D44" s="5" t="n">
        <v>1.40616296072133</v>
      </c>
      <c r="E44" s="5" t="n">
        <v>1.51994140352426</v>
      </c>
    </row>
    <row r="45">
      <c r="A45" t="inlineStr">
        <is>
          <t>All 13F filers ($100M+)</t>
        </is>
      </c>
      <c r="B45" s="5" t="n">
        <v>1.200138432000227</v>
      </c>
      <c r="C45" s="5" t="n">
        <v>1.164173700747299</v>
      </c>
      <c r="D45" s="5" t="n">
        <v>1.140509134693077</v>
      </c>
      <c r="E45" s="5" t="n">
        <v>1.202258577107368</v>
      </c>
    </row>
    <row r="48">
      <c r="A48" s="6" t="inlineStr">
        <is>
          <t>Median top-10 concentration</t>
        </is>
      </c>
    </row>
    <row r="49">
      <c r="A49" s="2" t="inlineStr">
        <is>
          <t>Tier</t>
        </is>
      </c>
      <c r="B49" s="2" t="inlineStr">
        <is>
          <t>2025Q3</t>
        </is>
      </c>
      <c r="C49" s="2" t="inlineStr">
        <is>
          <t>2025Q4</t>
        </is>
      </c>
      <c r="D49" s="2" t="inlineStr">
        <is>
          <t>2026Q1</t>
        </is>
      </c>
      <c r="E49" s="2" t="inlineStr">
        <is>
          <t>2026Q2</t>
        </is>
      </c>
    </row>
    <row r="50">
      <c r="A50" t="inlineStr">
        <is>
          <t>Top 10 managers</t>
        </is>
      </c>
      <c r="B50" s="4" t="n">
        <v>0.3047540711862226</v>
      </c>
      <c r="C50" s="4" t="n">
        <v>0.3131438721003397</v>
      </c>
      <c r="D50" s="4" t="n">
        <v>0.2876282740289863</v>
      </c>
      <c r="E50" s="4" t="n">
        <v>0.2858306789267049</v>
      </c>
    </row>
    <row r="51">
      <c r="A51" t="inlineStr">
        <is>
          <t>$10B+ (ex top 10)</t>
        </is>
      </c>
      <c r="B51" s="4" t="n">
        <v>0.3359978859405559</v>
      </c>
      <c r="C51" s="4" t="n">
        <v>0.34375249639092</v>
      </c>
      <c r="D51" s="4" t="n">
        <v>0.3218495114589068</v>
      </c>
      <c r="E51" s="4" t="n">
        <v>0.327690964713361</v>
      </c>
    </row>
    <row r="52">
      <c r="A52" t="inlineStr">
        <is>
          <t>$1B-10B</t>
        </is>
      </c>
      <c r="B52" s="4" t="n">
        <v>0.4500109576877122</v>
      </c>
      <c r="C52" s="4" t="n">
        <v>0.4516682426546259</v>
      </c>
      <c r="D52" s="4" t="n">
        <v>0.4403098656338789</v>
      </c>
      <c r="E52" s="4" t="n">
        <v>0.4518370184152952</v>
      </c>
    </row>
    <row r="53">
      <c r="A53" t="inlineStr">
        <is>
          <t>$100M-1B</t>
        </is>
      </c>
      <c r="B53" s="4" t="n">
        <v>0.5680247106360271</v>
      </c>
      <c r="C53" s="4" t="n">
        <v>0.5683425797489851</v>
      </c>
      <c r="D53" s="4" t="n">
        <v>0.5710954252956406</v>
      </c>
      <c r="E53" s="4" t="n">
        <v>0.5735380519314208</v>
      </c>
    </row>
    <row r="54">
      <c r="A54" t="inlineStr">
        <is>
          <t>All 13F filers ($100M+)</t>
        </is>
      </c>
      <c r="B54" s="4" t="n">
        <v>0.5224793580575058</v>
      </c>
      <c r="C54" s="4" t="n">
        <v>0.5221431200728468</v>
      </c>
      <c r="D54" s="4" t="n">
        <v>0.5264888514105485</v>
      </c>
      <c r="E54" s="4" t="n">
        <v>0.5307048964541087</v>
      </c>
    </row>
    <row r="57">
      <c r="A57" s="6" t="inlineStr">
        <is>
          <t>Persistent flows: stocks in a tier's top 20 for 2+ quarters</t>
        </is>
      </c>
    </row>
    <row r="58">
      <c r="A58" s="2" t="inlineStr">
        <is>
          <t>Tier</t>
        </is>
      </c>
      <c r="B58" s="2" t="inlineStr">
        <is>
          <t>Issuer</t>
        </is>
      </c>
      <c r="C58" s="2" t="inlineStr">
        <is>
          <t>Side</t>
        </is>
      </c>
      <c r="D58" s="2" t="inlineStr">
        <is>
          <t>Quarters</t>
        </is>
      </c>
      <c r="E58" s="2" t="inlineStr">
        <is>
          <t>Cumulative flow</t>
        </is>
      </c>
    </row>
    <row r="59">
      <c r="A59" t="inlineStr">
        <is>
          <t>Top 10 managers</t>
        </is>
      </c>
      <c r="B59" t="inlineStr">
        <is>
          <t>Nvidia Corporation</t>
        </is>
      </c>
      <c r="C59" t="inlineStr">
        <is>
          <t>BUY</t>
        </is>
      </c>
      <c r="D59" t="inlineStr">
        <is>
          <t>2025Q3, 2026Q1, 2026Q2</t>
        </is>
      </c>
      <c r="E59" s="3" t="n">
        <v>206044315612.6137</v>
      </c>
    </row>
    <row r="60">
      <c r="A60" t="inlineStr">
        <is>
          <t>Top 10 managers</t>
        </is>
      </c>
      <c r="B60" t="inlineStr">
        <is>
          <t>Alphabet Inc</t>
        </is>
      </c>
      <c r="C60" t="inlineStr">
        <is>
          <t>BUY</t>
        </is>
      </c>
      <c r="D60" t="inlineStr">
        <is>
          <t>2025Q3, 2025Q3, 2025Q4, 2026Q2, 2026Q2</t>
        </is>
      </c>
      <c r="E60" s="3" t="n">
        <v>179883923087.2365</v>
      </c>
    </row>
    <row r="61">
      <c r="A61" t="inlineStr">
        <is>
          <t>Top 10 managers</t>
        </is>
      </c>
      <c r="B61" t="inlineStr">
        <is>
          <t>Microsoft Corp</t>
        </is>
      </c>
      <c r="C61" t="inlineStr">
        <is>
          <t>BUY</t>
        </is>
      </c>
      <c r="D61" t="inlineStr">
        <is>
          <t>2025Q3, 2026Q2</t>
        </is>
      </c>
      <c r="E61" s="3" t="n">
        <v>151384769458.0176</v>
      </c>
    </row>
    <row r="62">
      <c r="A62" t="inlineStr">
        <is>
          <t>Top 10 managers</t>
        </is>
      </c>
      <c r="B62" t="inlineStr">
        <is>
          <t>Apple Inc</t>
        </is>
      </c>
      <c r="C62" t="inlineStr">
        <is>
          <t>BUY</t>
        </is>
      </c>
      <c r="D62" t="inlineStr">
        <is>
          <t>2025Q3, 2026Q2</t>
        </is>
      </c>
      <c r="E62" s="3" t="n">
        <v>148194722569.1788</v>
      </c>
    </row>
    <row r="63">
      <c r="A63" t="inlineStr">
        <is>
          <t>Top 10 managers</t>
        </is>
      </c>
      <c r="B63" t="inlineStr">
        <is>
          <t>Amazon Com Inc</t>
        </is>
      </c>
      <c r="C63" t="inlineStr">
        <is>
          <t>BUY</t>
        </is>
      </c>
      <c r="D63" t="inlineStr">
        <is>
          <t>2025Q3, 2026Q1, 2026Q2</t>
        </is>
      </c>
      <c r="E63" s="3" t="n">
        <v>94820012551.47083</v>
      </c>
    </row>
    <row r="64">
      <c r="A64" t="inlineStr">
        <is>
          <t>Top 10 managers</t>
        </is>
      </c>
      <c r="B64" t="inlineStr">
        <is>
          <t>Broadcom Inc</t>
        </is>
      </c>
      <c r="C64" t="inlineStr">
        <is>
          <t>BUY</t>
        </is>
      </c>
      <c r="D64" t="inlineStr">
        <is>
          <t>2025Q3, 2026Q1, 2026Q2</t>
        </is>
      </c>
      <c r="E64" s="3" t="n">
        <v>87273376261.5611</v>
      </c>
    </row>
    <row r="65">
      <c r="A65" t="inlineStr">
        <is>
          <t>Top 10 managers</t>
        </is>
      </c>
      <c r="B65" t="inlineStr">
        <is>
          <t>Meta Platforms Inc</t>
        </is>
      </c>
      <c r="C65" t="inlineStr">
        <is>
          <t>BUY</t>
        </is>
      </c>
      <c r="D65" t="inlineStr">
        <is>
          <t>2025Q3, 2025Q4, 2026Q2</t>
        </is>
      </c>
      <c r="E65" s="3" t="n">
        <v>82233773504.25006</v>
      </c>
    </row>
    <row r="66">
      <c r="A66" t="inlineStr">
        <is>
          <t>Top 10 managers</t>
        </is>
      </c>
      <c r="B66" t="inlineStr">
        <is>
          <t>Mastercard Incorporated</t>
        </is>
      </c>
      <c r="C66" t="inlineStr">
        <is>
          <t>BUY</t>
        </is>
      </c>
      <c r="D66" t="inlineStr">
        <is>
          <t>2025Q3, 2025Q4, 2026Q2</t>
        </is>
      </c>
      <c r="E66" s="3" t="n">
        <v>58280194631.7504</v>
      </c>
    </row>
    <row r="67">
      <c r="A67" t="inlineStr">
        <is>
          <t>Top 10 managers</t>
        </is>
      </c>
      <c r="B67" t="inlineStr">
        <is>
          <t>Advanced Micro Devices Inc</t>
        </is>
      </c>
      <c r="C67" t="inlineStr">
        <is>
          <t>BUY</t>
        </is>
      </c>
      <c r="D67" t="inlineStr">
        <is>
          <t>2025Q4, 2026Q2</t>
        </is>
      </c>
      <c r="E67" s="3" t="n">
        <v>45357359265.95</v>
      </c>
    </row>
    <row r="68">
      <c r="A68" t="inlineStr">
        <is>
          <t>Top 10 managers</t>
        </is>
      </c>
      <c r="B68" t="inlineStr">
        <is>
          <t>Tesla Inc</t>
        </is>
      </c>
      <c r="C68" t="inlineStr">
        <is>
          <t>BUY</t>
        </is>
      </c>
      <c r="D68" t="inlineStr">
        <is>
          <t>2025Q3, 2026Q2</t>
        </is>
      </c>
      <c r="E68" s="3" t="n">
        <v>42551414931</v>
      </c>
    </row>
    <row r="69">
      <c r="A69" t="inlineStr">
        <is>
          <t>Top 10 managers</t>
        </is>
      </c>
      <c r="B69" t="inlineStr">
        <is>
          <t>Honeywell Intl Inc</t>
        </is>
      </c>
      <c r="C69" t="inlineStr">
        <is>
          <t>BUY</t>
        </is>
      </c>
      <c r="D69" t="inlineStr">
        <is>
          <t>2025Q4, 2026Q2</t>
        </is>
      </c>
      <c r="E69" s="3" t="n">
        <v>31931902662.75961</v>
      </c>
    </row>
    <row r="70">
      <c r="A70" t="inlineStr">
        <is>
          <t>Top 10 managers</t>
        </is>
      </c>
      <c r="B70" t="inlineStr">
        <is>
          <t>Johnson &amp; Johnson</t>
        </is>
      </c>
      <c r="C70" t="inlineStr">
        <is>
          <t>BUY</t>
        </is>
      </c>
      <c r="D70" t="inlineStr">
        <is>
          <t>2025Q3, 2026Q1, 2026Q2</t>
        </is>
      </c>
      <c r="E70" s="3" t="n">
        <v>28663734664.57993</v>
      </c>
    </row>
    <row r="71">
      <c r="A71" t="inlineStr">
        <is>
          <t>Top 10 managers</t>
        </is>
      </c>
      <c r="B71" t="inlineStr">
        <is>
          <t>Walmart Inc</t>
        </is>
      </c>
      <c r="C71" t="inlineStr">
        <is>
          <t>BUY</t>
        </is>
      </c>
      <c r="D71" t="inlineStr">
        <is>
          <t>2025Q3, 2026Q1</t>
        </is>
      </c>
      <c r="E71" s="3" t="n">
        <v>28184597415.77313</v>
      </c>
    </row>
    <row r="72">
      <c r="A72" t="inlineStr">
        <is>
          <t>Top 10 managers</t>
        </is>
      </c>
      <c r="B72" t="inlineStr">
        <is>
          <t>Applied Matls Inc</t>
        </is>
      </c>
      <c r="C72" t="inlineStr">
        <is>
          <t>BUY</t>
        </is>
      </c>
      <c r="D72" t="inlineStr">
        <is>
          <t>2026Q1, 2026Q2</t>
        </is>
      </c>
      <c r="E72" s="3" t="n">
        <v>21492523495.81022</v>
      </c>
    </row>
    <row r="73">
      <c r="A73" t="inlineStr">
        <is>
          <t>Top 10 managers</t>
        </is>
      </c>
      <c r="B73" t="inlineStr">
        <is>
          <t>Rtx Corporation</t>
        </is>
      </c>
      <c r="C73" t="inlineStr">
        <is>
          <t>BUY</t>
        </is>
      </c>
      <c r="D73" t="inlineStr">
        <is>
          <t>2025Q4, 2026Q1</t>
        </is>
      </c>
      <c r="E73" s="3" t="n">
        <v>9978703600.261627</v>
      </c>
    </row>
    <row r="74">
      <c r="A74" t="inlineStr">
        <is>
          <t>Top 10 managers</t>
        </is>
      </c>
      <c r="B74" t="inlineStr">
        <is>
          <t>Microsoft Corp</t>
        </is>
      </c>
      <c r="C74" t="inlineStr">
        <is>
          <t>SELL</t>
        </is>
      </c>
      <c r="D74" t="inlineStr">
        <is>
          <t>2025Q4, 2026Q1</t>
        </is>
      </c>
      <c r="E74" s="3" t="n">
        <v>-49787213306.66969</v>
      </c>
    </row>
    <row r="75">
      <c r="A75" t="inlineStr">
        <is>
          <t>Top 10 managers</t>
        </is>
      </c>
      <c r="B75" t="inlineStr">
        <is>
          <t>Berkshire Hathaway Inc Del</t>
        </is>
      </c>
      <c r="C75" t="inlineStr">
        <is>
          <t>SELL</t>
        </is>
      </c>
      <c r="D75" t="inlineStr">
        <is>
          <t>2025Q3, 2026Q1, 2026Q2</t>
        </is>
      </c>
      <c r="E75" s="3" t="n">
        <v>-11885478940</v>
      </c>
    </row>
    <row r="76">
      <c r="A76" t="inlineStr">
        <is>
          <t>Top 10 managers</t>
        </is>
      </c>
      <c r="B76" t="inlineStr">
        <is>
          <t>Masimo Corp</t>
        </is>
      </c>
      <c r="C76" t="inlineStr">
        <is>
          <t>SELL</t>
        </is>
      </c>
      <c r="D76" t="inlineStr">
        <is>
          <t>2026Q1, 2026Q2</t>
        </is>
      </c>
      <c r="E76" s="3" t="n">
        <v>-4446660478.498182</v>
      </c>
    </row>
    <row r="77">
      <c r="A77" t="inlineStr">
        <is>
          <t>Top 10 managers</t>
        </is>
      </c>
      <c r="B77" t="inlineStr">
        <is>
          <t>Visa Inc</t>
        </is>
      </c>
      <c r="C77" t="inlineStr">
        <is>
          <t>SELL</t>
        </is>
      </c>
      <c r="D77" t="inlineStr">
        <is>
          <t>2025Q3, 2026Q1</t>
        </is>
      </c>
      <c r="E77" s="3" t="n">
        <v>-3898061085.337107</v>
      </c>
    </row>
    <row r="78">
      <c r="A78" t="inlineStr">
        <is>
          <t>$10B+ (ex top 10)</t>
        </is>
      </c>
      <c r="B78" t="inlineStr">
        <is>
          <t>Nvidia Corporation</t>
        </is>
      </c>
      <c r="C78" t="inlineStr">
        <is>
          <t>BUY</t>
        </is>
      </c>
      <c r="D78" t="inlineStr">
        <is>
          <t>2025Q4, 2026Q2</t>
        </is>
      </c>
      <c r="E78" s="3" t="n">
        <v>183711498690.242</v>
      </c>
    </row>
    <row r="79">
      <c r="A79" t="inlineStr">
        <is>
          <t>$10B+ (ex top 10)</t>
        </is>
      </c>
      <c r="B79" t="inlineStr">
        <is>
          <t>Alphabet Inc</t>
        </is>
      </c>
      <c r="C79" t="inlineStr">
        <is>
          <t>BUY</t>
        </is>
      </c>
      <c r="D79" t="inlineStr">
        <is>
          <t>2025Q4, 2025Q4, 2026Q1, 2026Q2, 2026Q2</t>
        </is>
      </c>
      <c r="E79" s="3" t="n">
        <v>168526442516.0028</v>
      </c>
    </row>
    <row r="80">
      <c r="A80" t="inlineStr">
        <is>
          <t>$10B+ (ex top 10)</t>
        </is>
      </c>
      <c r="B80" t="inlineStr">
        <is>
          <t>Berkshire Hathaway Inc Del</t>
        </is>
      </c>
      <c r="C80" t="inlineStr">
        <is>
          <t>BUY</t>
        </is>
      </c>
      <c r="D80" t="inlineStr">
        <is>
          <t>2025Q3, 2025Q4, 2026Q2</t>
        </is>
      </c>
      <c r="E80" s="3" t="n">
        <v>166079177205.7958</v>
      </c>
    </row>
    <row r="81">
      <c r="A81" t="inlineStr">
        <is>
          <t>$10B+ (ex top 10)</t>
        </is>
      </c>
      <c r="B81" t="inlineStr">
        <is>
          <t>Apple Inc</t>
        </is>
      </c>
      <c r="C81" t="inlineStr">
        <is>
          <t>BUY</t>
        </is>
      </c>
      <c r="D81" t="inlineStr">
        <is>
          <t>2025Q4, 2026Q2</t>
        </is>
      </c>
      <c r="E81" s="3" t="n">
        <v>154960905601.8048</v>
      </c>
    </row>
    <row r="82">
      <c r="A82" t="inlineStr">
        <is>
          <t>$10B+ (ex top 10)</t>
        </is>
      </c>
      <c r="B82" t="inlineStr">
        <is>
          <t>Microsoft Corp</t>
        </is>
      </c>
      <c r="C82" t="inlineStr">
        <is>
          <t>BUY</t>
        </is>
      </c>
      <c r="D82" t="inlineStr">
        <is>
          <t>2025Q3, 2025Q4, 2026Q2</t>
        </is>
      </c>
      <c r="E82" s="3" t="n">
        <v>125838046670.7313</v>
      </c>
    </row>
    <row r="83">
      <c r="A83" t="inlineStr">
        <is>
          <t>$10B+ (ex top 10)</t>
        </is>
      </c>
      <c r="B83" t="inlineStr">
        <is>
          <t>Amazon Com Inc</t>
        </is>
      </c>
      <c r="C83" t="inlineStr">
        <is>
          <t>BUY</t>
        </is>
      </c>
      <c r="D83" t="inlineStr">
        <is>
          <t>2025Q4, 2026Q2</t>
        </is>
      </c>
      <c r="E83" s="3" t="n">
        <v>121061239303.7801</v>
      </c>
    </row>
    <row r="84">
      <c r="A84" t="inlineStr">
        <is>
          <t>$10B+ (ex top 10)</t>
        </is>
      </c>
      <c r="B84" t="inlineStr">
        <is>
          <t>Broadcom Inc</t>
        </is>
      </c>
      <c r="C84" t="inlineStr">
        <is>
          <t>BUY</t>
        </is>
      </c>
      <c r="D84" t="inlineStr">
        <is>
          <t>2025Q4, 2026Q2</t>
        </is>
      </c>
      <c r="E84" s="3" t="n">
        <v>65427862812.23092</v>
      </c>
    </row>
    <row r="85">
      <c r="A85" t="inlineStr">
        <is>
          <t>$10B+ (ex top 10)</t>
        </is>
      </c>
      <c r="B85" t="inlineStr">
        <is>
          <t>Meta Platforms Inc</t>
        </is>
      </c>
      <c r="C85" t="inlineStr">
        <is>
          <t>BUY</t>
        </is>
      </c>
      <c r="D85" t="inlineStr">
        <is>
          <t>2025Q4, 2026Q1, 2026Q2</t>
        </is>
      </c>
      <c r="E85" s="3" t="n">
        <v>64708233030.92709</v>
      </c>
    </row>
    <row r="86">
      <c r="A86" t="inlineStr">
        <is>
          <t>$10B+ (ex top 10)</t>
        </is>
      </c>
      <c r="B86" t="inlineStr">
        <is>
          <t>Tesla Inc</t>
        </is>
      </c>
      <c r="C86" t="inlineStr">
        <is>
          <t>BUY</t>
        </is>
      </c>
      <c r="D86" t="inlineStr">
        <is>
          <t>2025Q4, 2026Q2</t>
        </is>
      </c>
      <c r="E86" s="3" t="n">
        <v>61121226550.48</v>
      </c>
    </row>
    <row r="87">
      <c r="A87" t="inlineStr">
        <is>
          <t>$10B+ (ex top 10)</t>
        </is>
      </c>
      <c r="B87" t="inlineStr">
        <is>
          <t>Totalenergies Se</t>
        </is>
      </c>
      <c r="C87" t="inlineStr">
        <is>
          <t>BUY</t>
        </is>
      </c>
      <c r="D87" t="inlineStr">
        <is>
          <t>2025Q4, 2026Q1</t>
        </is>
      </c>
      <c r="E87" s="3" t="n">
        <v>55075524002.28284</v>
      </c>
    </row>
    <row r="88">
      <c r="A88" t="inlineStr">
        <is>
          <t>$10B+ (ex top 10)</t>
        </is>
      </c>
      <c r="B88" t="inlineStr">
        <is>
          <t>Advanced Micro Devices Inc</t>
        </is>
      </c>
      <c r="C88" t="inlineStr">
        <is>
          <t>BUY</t>
        </is>
      </c>
      <c r="D88" t="inlineStr">
        <is>
          <t>2025Q4, 2026Q2</t>
        </is>
      </c>
      <c r="E88" s="3" t="n">
        <v>48584401157.51</v>
      </c>
    </row>
    <row r="89">
      <c r="A89" t="inlineStr">
        <is>
          <t>$10B+ (ex top 10)</t>
        </is>
      </c>
      <c r="B89" t="inlineStr">
        <is>
          <t>Intel Corp</t>
        </is>
      </c>
      <c r="C89" t="inlineStr">
        <is>
          <t>BUY</t>
        </is>
      </c>
      <c r="D89" t="inlineStr">
        <is>
          <t>2025Q4, 2026Q2</t>
        </is>
      </c>
      <c r="E89" s="3" t="n">
        <v>31056267565.64456</v>
      </c>
    </row>
    <row r="90">
      <c r="A90" t="inlineStr">
        <is>
          <t>$10B+ (ex top 10)</t>
        </is>
      </c>
      <c r="B90" t="inlineStr">
        <is>
          <t>Palo Alto Networks Inc</t>
        </is>
      </c>
      <c r="C90" t="inlineStr">
        <is>
          <t>BUY</t>
        </is>
      </c>
      <c r="D90" t="inlineStr">
        <is>
          <t>2025Q3, 2026Q1</t>
        </is>
      </c>
      <c r="E90" s="3" t="n">
        <v>7003870027.253645</v>
      </c>
    </row>
    <row r="91">
      <c r="A91" t="inlineStr">
        <is>
          <t>$10B+ (ex top 10)</t>
        </is>
      </c>
      <c r="B91" t="inlineStr">
        <is>
          <t>Broadcom Inc</t>
        </is>
      </c>
      <c r="C91" t="inlineStr">
        <is>
          <t>SELL</t>
        </is>
      </c>
      <c r="D91" t="inlineStr">
        <is>
          <t>2025Q3, 2026Q1</t>
        </is>
      </c>
      <c r="E91" s="3" t="n">
        <v>-13311937537.71252</v>
      </c>
    </row>
    <row r="92">
      <c r="A92" t="inlineStr">
        <is>
          <t>$10B+ (ex top 10)</t>
        </is>
      </c>
      <c r="B92" t="inlineStr">
        <is>
          <t>Mastercard Incorporated</t>
        </is>
      </c>
      <c r="C92" t="inlineStr">
        <is>
          <t>SELL</t>
        </is>
      </c>
      <c r="D92" t="inlineStr">
        <is>
          <t>2025Q3, 2026Q1</t>
        </is>
      </c>
      <c r="E92" s="3" t="n">
        <v>-12220220346.70807</v>
      </c>
    </row>
    <row r="93">
      <c r="A93" t="inlineStr">
        <is>
          <t>$10B+ (ex top 10)</t>
        </is>
      </c>
      <c r="B93" t="inlineStr">
        <is>
          <t>Dayforce Inc</t>
        </is>
      </c>
      <c r="C93" t="inlineStr">
        <is>
          <t>SELL</t>
        </is>
      </c>
      <c r="D93" t="inlineStr">
        <is>
          <t>2025Q4, 2026Q1</t>
        </is>
      </c>
      <c r="E93" s="3" t="n">
        <v>-6885945026.22125</v>
      </c>
    </row>
    <row r="94">
      <c r="A94" t="inlineStr">
        <is>
          <t>$1B-10B</t>
        </is>
      </c>
      <c r="B94" t="inlineStr">
        <is>
          <t>Berkshire Hathaway Inc Del</t>
        </is>
      </c>
      <c r="C94" t="inlineStr">
        <is>
          <t>BUY</t>
        </is>
      </c>
      <c r="D94" t="inlineStr">
        <is>
          <t>2025Q4, 2026Q2, 2026Q2</t>
        </is>
      </c>
      <c r="E94" s="3" t="n">
        <v>95259611588407.83</v>
      </c>
    </row>
    <row r="95">
      <c r="A95" t="inlineStr">
        <is>
          <t>$1B-10B</t>
        </is>
      </c>
      <c r="B95" t="inlineStr">
        <is>
          <t>Meta Platforms Inc</t>
        </is>
      </c>
      <c r="C95" t="inlineStr">
        <is>
          <t>BUY</t>
        </is>
      </c>
      <c r="D95" t="inlineStr">
        <is>
          <t>2025Q3, 2025Q4</t>
        </is>
      </c>
      <c r="E95" s="3" t="n">
        <v>70436699707.14473</v>
      </c>
    </row>
    <row r="96">
      <c r="A96" t="inlineStr">
        <is>
          <t>$1B-10B</t>
        </is>
      </c>
      <c r="B96" t="inlineStr">
        <is>
          <t>Microsoft Corp</t>
        </is>
      </c>
      <c r="C96" t="inlineStr">
        <is>
          <t>BUY</t>
        </is>
      </c>
      <c r="D96" t="inlineStr">
        <is>
          <t>2025Q3, 2025Q4</t>
        </is>
      </c>
      <c r="E96" s="3" t="n">
        <v>31790507450.7716</v>
      </c>
    </row>
    <row r="97">
      <c r="A97" t="inlineStr">
        <is>
          <t>$1B-10B</t>
        </is>
      </c>
      <c r="B97" t="inlineStr">
        <is>
          <t>Amazon Com Inc</t>
        </is>
      </c>
      <c r="C97" t="inlineStr">
        <is>
          <t>BUY</t>
        </is>
      </c>
      <c r="D97" t="inlineStr">
        <is>
          <t>2025Q3, 2025Q4, 2026Q2</t>
        </is>
      </c>
      <c r="E97" s="3" t="n">
        <v>31063497327.9698</v>
      </c>
    </row>
    <row r="98">
      <c r="A98" t="inlineStr">
        <is>
          <t>$1B-10B</t>
        </is>
      </c>
      <c r="B98" t="inlineStr">
        <is>
          <t>Nvidia Corporation</t>
        </is>
      </c>
      <c r="C98" t="inlineStr">
        <is>
          <t>BUY</t>
        </is>
      </c>
      <c r="D98" t="inlineStr">
        <is>
          <t>2025Q3, 2025Q4</t>
        </is>
      </c>
      <c r="E98" s="3" t="n">
        <v>6083810616.573694</v>
      </c>
    </row>
    <row r="99">
      <c r="A99" t="inlineStr">
        <is>
          <t>$1B-10B</t>
        </is>
      </c>
      <c r="B99" t="inlineStr">
        <is>
          <t>Janus Detroit Str Tr</t>
        </is>
      </c>
      <c r="C99" t="inlineStr">
        <is>
          <t>BUY</t>
        </is>
      </c>
      <c r="D99" t="inlineStr">
        <is>
          <t>2025Q3, 2026Q1</t>
        </is>
      </c>
      <c r="E99" s="3" t="n">
        <v>2635273813.374827</v>
      </c>
    </row>
    <row r="100">
      <c r="A100" t="inlineStr">
        <is>
          <t>$1B-10B</t>
        </is>
      </c>
      <c r="B100" t="inlineStr">
        <is>
          <t>Berkshire Hathaway Inc Del</t>
        </is>
      </c>
      <c r="C100" t="inlineStr">
        <is>
          <t>SELL</t>
        </is>
      </c>
      <c r="D100" t="inlineStr">
        <is>
          <t>2025Q3, 2026Q1</t>
        </is>
      </c>
      <c r="E100" s="3" t="n">
        <v>-90915069562140</v>
      </c>
    </row>
    <row r="101">
      <c r="A101" t="inlineStr">
        <is>
          <t>$1B-10B</t>
        </is>
      </c>
      <c r="B101" t="inlineStr">
        <is>
          <t>Alphabet Inc</t>
        </is>
      </c>
      <c r="C101" t="inlineStr">
        <is>
          <t>SELL</t>
        </is>
      </c>
      <c r="D101" t="inlineStr">
        <is>
          <t>2025Q3, 2025Q4, 2026Q1, 2026Q1, 2026Q2</t>
        </is>
      </c>
      <c r="E101" s="3" t="n">
        <v>-148749630341.186</v>
      </c>
    </row>
    <row r="102">
      <c r="A102" t="inlineStr">
        <is>
          <t>$1B-10B</t>
        </is>
      </c>
      <c r="B102" t="inlineStr">
        <is>
          <t>Nvidia Corporation</t>
        </is>
      </c>
      <c r="C102" t="inlineStr">
        <is>
          <t>SELL</t>
        </is>
      </c>
      <c r="D102" t="inlineStr">
        <is>
          <t>2026Q1, 2026Q2</t>
        </is>
      </c>
      <c r="E102" s="3" t="n">
        <v>-105446840288.732</v>
      </c>
    </row>
    <row r="103">
      <c r="A103" t="inlineStr">
        <is>
          <t>$1B-10B</t>
        </is>
      </c>
      <c r="B103" t="inlineStr">
        <is>
          <t>Booking Holdings Inc</t>
        </is>
      </c>
      <c r="C103" t="inlineStr">
        <is>
          <t>SELL</t>
        </is>
      </c>
      <c r="D103" t="inlineStr">
        <is>
          <t>2026Q1, 2026Q2</t>
        </is>
      </c>
      <c r="E103" s="3" t="n">
        <v>-18350825285.09649</v>
      </c>
    </row>
    <row r="104">
      <c r="A104" t="inlineStr">
        <is>
          <t>$1B-10B</t>
        </is>
      </c>
      <c r="B104" t="inlineStr">
        <is>
          <t>Oracle Corp</t>
        </is>
      </c>
      <c r="C104" t="inlineStr">
        <is>
          <t>SELL</t>
        </is>
      </c>
      <c r="D104" t="inlineStr">
        <is>
          <t>2025Q3, 2026Q2</t>
        </is>
      </c>
      <c r="E104" s="3" t="n">
        <v>-5059252955.630001</v>
      </c>
    </row>
    <row r="105">
      <c r="A105" t="inlineStr">
        <is>
          <t>$100M-1B</t>
        </is>
      </c>
      <c r="B105" t="inlineStr">
        <is>
          <t>Kkr &amp; Co Inc</t>
        </is>
      </c>
      <c r="C105" t="inlineStr">
        <is>
          <t>BUY</t>
        </is>
      </c>
      <c r="D105" t="inlineStr">
        <is>
          <t>2025Q4, 2026Q1</t>
        </is>
      </c>
      <c r="E105" s="3" t="n">
        <v>2327734217.332396</v>
      </c>
    </row>
    <row r="106">
      <c r="A106" t="inlineStr">
        <is>
          <t>$100M-1B</t>
        </is>
      </c>
      <c r="B106" t="inlineStr">
        <is>
          <t>Ares Management Corporation</t>
        </is>
      </c>
      <c r="C106" t="inlineStr">
        <is>
          <t>BUY</t>
        </is>
      </c>
      <c r="D106" t="inlineStr">
        <is>
          <t>2025Q4, 2026Q1</t>
        </is>
      </c>
      <c r="E106" s="3" t="n">
        <v>1648468504.173812</v>
      </c>
    </row>
    <row r="107">
      <c r="A107" t="inlineStr">
        <is>
          <t>$100M-1B</t>
        </is>
      </c>
      <c r="B107" t="inlineStr">
        <is>
          <t>Mercadolibre Inc</t>
        </is>
      </c>
      <c r="C107" t="inlineStr">
        <is>
          <t>BUY</t>
        </is>
      </c>
      <c r="D107" t="inlineStr">
        <is>
          <t>2025Q4, 2026Q1</t>
        </is>
      </c>
      <c r="E107" s="3" t="n">
        <v>921747724.0800762</v>
      </c>
    </row>
    <row r="108">
      <c r="A108" t="inlineStr">
        <is>
          <t>$100M-1B</t>
        </is>
      </c>
      <c r="B108" t="inlineStr">
        <is>
          <t>Alphabet Inc</t>
        </is>
      </c>
      <c r="C108" t="inlineStr">
        <is>
          <t>BUY</t>
        </is>
      </c>
      <c r="D108" t="inlineStr">
        <is>
          <t>2026Q2, 2026Q2</t>
        </is>
      </c>
      <c r="E108" s="3" t="n">
        <v>695841403.7807422</v>
      </c>
    </row>
    <row r="109">
      <c r="A109" t="inlineStr">
        <is>
          <t>$100M-1B</t>
        </is>
      </c>
      <c r="B109" t="inlineStr">
        <is>
          <t>Berkshire Hathaway Inc Del</t>
        </is>
      </c>
      <c r="C109" t="inlineStr">
        <is>
          <t>SELL</t>
        </is>
      </c>
      <c r="D109" t="inlineStr">
        <is>
          <t>2025Q3, 2025Q4, 2026Q1</t>
        </is>
      </c>
      <c r="E109" s="3" t="n">
        <v>-408229908360</v>
      </c>
    </row>
    <row r="110">
      <c r="A110" t="inlineStr">
        <is>
          <t>$100M-1B</t>
        </is>
      </c>
      <c r="B110" t="inlineStr">
        <is>
          <t>Apple Inc</t>
        </is>
      </c>
      <c r="C110" t="inlineStr">
        <is>
          <t>SELL</t>
        </is>
      </c>
      <c r="D110" t="inlineStr">
        <is>
          <t>2025Q3, 2026Q1, 2026Q2</t>
        </is>
      </c>
      <c r="E110" s="3" t="n">
        <v>-30841008329.46333</v>
      </c>
    </row>
    <row r="111">
      <c r="A111" t="inlineStr">
        <is>
          <t>$100M-1B</t>
        </is>
      </c>
      <c r="B111" t="inlineStr">
        <is>
          <t>Microsoft Corp</t>
        </is>
      </c>
      <c r="C111" t="inlineStr">
        <is>
          <t>SELL</t>
        </is>
      </c>
      <c r="D111" t="inlineStr">
        <is>
          <t>2025Q3, 2026Q1, 2026Q2</t>
        </is>
      </c>
      <c r="E111" s="3" t="n">
        <v>-15602969153.32457</v>
      </c>
    </row>
    <row r="112">
      <c r="A112" t="inlineStr">
        <is>
          <t>$100M-1B</t>
        </is>
      </c>
      <c r="B112" t="inlineStr">
        <is>
          <t>Alphabet Inc</t>
        </is>
      </c>
      <c r="C112" t="inlineStr">
        <is>
          <t>SELL</t>
        </is>
      </c>
      <c r="D112" t="inlineStr">
        <is>
          <t>2025Q3, 2025Q3, 2025Q4, 2025Q4, 2026Q1, 2026Q1, 2026Q2</t>
        </is>
      </c>
      <c r="E112" s="3" t="n">
        <v>-12664345184.10775</v>
      </c>
    </row>
    <row r="113">
      <c r="A113" t="inlineStr">
        <is>
          <t>$100M-1B</t>
        </is>
      </c>
      <c r="B113" t="inlineStr">
        <is>
          <t>Echostar Corp</t>
        </is>
      </c>
      <c r="C113" t="inlineStr">
        <is>
          <t>SELL</t>
        </is>
      </c>
      <c r="D113" t="inlineStr">
        <is>
          <t>2025Q4, 2025Q4</t>
        </is>
      </c>
      <c r="E113" s="3" t="n">
        <v>-12163585119.73444</v>
      </c>
    </row>
    <row r="114">
      <c r="A114" t="inlineStr">
        <is>
          <t>$100M-1B</t>
        </is>
      </c>
      <c r="B114" t="inlineStr">
        <is>
          <t>Amazon Com Inc</t>
        </is>
      </c>
      <c r="C114" t="inlineStr">
        <is>
          <t>SELL</t>
        </is>
      </c>
      <c r="D114" t="inlineStr">
        <is>
          <t>2025Q3, 2026Q1</t>
        </is>
      </c>
      <c r="E114" s="3" t="n">
        <v>-3413391225.416071</v>
      </c>
    </row>
    <row r="115">
      <c r="A115" t="inlineStr">
        <is>
          <t>$100M-1B</t>
        </is>
      </c>
      <c r="B115" t="inlineStr">
        <is>
          <t>Nvidia Corporation</t>
        </is>
      </c>
      <c r="C115" t="inlineStr">
        <is>
          <t>SELL</t>
        </is>
      </c>
      <c r="D115" t="inlineStr">
        <is>
          <t>2025Q3, 2025Q4</t>
        </is>
      </c>
      <c r="E115" s="3" t="n">
        <v>-3411793270.964731</v>
      </c>
    </row>
    <row r="116">
      <c r="A116" t="inlineStr">
        <is>
          <t>$100M-1B</t>
        </is>
      </c>
      <c r="B116" t="inlineStr">
        <is>
          <t>Meta Platforms Inc</t>
        </is>
      </c>
      <c r="C116" t="inlineStr">
        <is>
          <t>SELL</t>
        </is>
      </c>
      <c r="D116" t="inlineStr">
        <is>
          <t>2025Q4, 2026Q1</t>
        </is>
      </c>
      <c r="E116" s="3" t="n">
        <v>-1516570886.782863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Source: SEC Form 13F bulk data sets (all 13F-HR filers). Latest restated/original filing per manager-quarter, plus NEW HOLDINGS amendments.</t>
        </is>
      </c>
    </row>
    <row r="2">
      <c r="A2" t="inlineStr">
        <is>
          <t>Tiers by current-quarter long-equity 13F value: Top 10 by size; $10B+ ex top 10; $1-10B; $100M-1B. Sub-$100M voluntary filers excluded.</t>
        </is>
      </c>
    </row>
    <row r="3">
      <c r="A3" t="inlineStr">
        <is>
          <t>Flow = (shares this Q - shares last Q, split-adjusted) x median implied price this Q. This shows active buying and selling, not price drift.</t>
        </is>
      </c>
    </row>
    <row r="4">
      <c r="A4" t="inlineStr">
        <is>
          <t>Only managers filing in both quarters are counted. New and dropped filers are reported in the universe counts.</t>
        </is>
      </c>
    </row>
    <row r="5">
      <c r="A5" t="inlineStr">
        <is>
          <t>Long common/ETF positions only (SH). Options appear separately as put/call notional, which is the underlying value, not the premium.</t>
        </is>
      </c>
    </row>
    <row r="6">
      <c r="A6" t="inlineStr">
        <is>
          <t>Turnover = min(gross buys, gross sells) / average AUM, which approximates repositioning. Gross activity = (buys + sells) / average AUM.</t>
        </is>
      </c>
    </row>
    <row r="7">
      <c r="A7" t="inlineStr">
        <is>
          <t>Caveats: lagging (45 days after quarter end), long-only, US-listed 13F securities only, no shorts or cash. Large passive managers' flows reflect fund subscriptions and redemptions.</t>
        </is>
      </c>
    </row>
    <row r="8">
      <c r="A8" t="inlineStr">
        <is>
          <t>Splits are detected when the median share ratio across 5+ continuing holders is close to a standard split ratio.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2026-10-19T11:50:37Z</dcterms:created>
  <dcterms:modified xsi:type="dcterms:W3CDTF">2026-10-19T11:50:37Z</dcterms:modified>
</cp:coreProperties>
</file>